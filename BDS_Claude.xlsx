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ning\2026-08_powerbi\"/>
    </mc:Choice>
  </mc:AlternateContent>
  <xr:revisionPtr revIDLastSave="0" documentId="13_ncr:1_{8B9D02BC-6212-48A4-AFD8-941B4F4E1290}" xr6:coauthVersionLast="47" xr6:coauthVersionMax="47" xr10:uidLastSave="{00000000-0000-0000-0000-000000000000}"/>
  <bookViews>
    <workbookView xWindow="-110" yWindow="-110" windowWidth="22780" windowHeight="14540" activeTab="2" xr2:uid="{DCCF9135-B7FF-40EC-9241-1AFACEEA8C1A}"/>
  </bookViews>
  <sheets>
    <sheet name="Data" sheetId="2" r:id="rId1"/>
    <sheet name="Dashboard" sheetId="3" r:id="rId2"/>
    <sheet name="KPI Dashboard" sheetId="4" r:id="rId3"/>
    <sheet name="Kế hoạch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3" i="4" l="1"/>
  <c r="AF30" i="4"/>
  <c r="AF31" i="4"/>
  <c r="AF32" i="4"/>
  <c r="AF33" i="4"/>
  <c r="AF34" i="4"/>
  <c r="AF35" i="4"/>
  <c r="AF36" i="4"/>
  <c r="AF37" i="4"/>
  <c r="AE30" i="4"/>
  <c r="AE31" i="4"/>
  <c r="AE32" i="4"/>
  <c r="AE33" i="4"/>
  <c r="AE34" i="4"/>
  <c r="AE35" i="4"/>
  <c r="AE36" i="4"/>
  <c r="AE37" i="4"/>
  <c r="AD30" i="4"/>
  <c r="AD31" i="4"/>
  <c r="AD32" i="4"/>
  <c r="AD33" i="4"/>
  <c r="AD34" i="4"/>
  <c r="AD35" i="4"/>
  <c r="AD36" i="4"/>
  <c r="AD37" i="4"/>
  <c r="AC30" i="4"/>
  <c r="AC31" i="4"/>
  <c r="AC32" i="4"/>
  <c r="AC33" i="4"/>
  <c r="AC34" i="4"/>
  <c r="AC35" i="4"/>
  <c r="AC36" i="4"/>
  <c r="AC37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B22" i="5"/>
  <c r="F12" i="4"/>
  <c r="F10" i="4"/>
  <c r="A12" i="4"/>
  <c r="A10" i="4"/>
  <c r="A5" i="4"/>
  <c r="X68" i="4"/>
  <c r="X69" i="4"/>
  <c r="X70" i="4"/>
  <c r="X71" i="4"/>
  <c r="X72" i="4"/>
  <c r="X73" i="4"/>
  <c r="W68" i="4"/>
  <c r="W69" i="4"/>
  <c r="W70" i="4"/>
  <c r="W71" i="4"/>
  <c r="W72" i="4"/>
  <c r="W73" i="4"/>
  <c r="X49" i="4"/>
  <c r="P12" i="4" s="1"/>
  <c r="X50" i="4"/>
  <c r="X51" i="4"/>
  <c r="P10" i="4" s="1"/>
  <c r="X52" i="4"/>
  <c r="X53" i="4"/>
  <c r="X54" i="4"/>
  <c r="X55" i="4"/>
  <c r="X56" i="4"/>
  <c r="X57" i="4"/>
  <c r="X58" i="4"/>
  <c r="W49" i="4"/>
  <c r="W50" i="4"/>
  <c r="W51" i="4"/>
  <c r="W52" i="4"/>
  <c r="W53" i="4"/>
  <c r="W54" i="4"/>
  <c r="W55" i="4"/>
  <c r="W56" i="4"/>
  <c r="W57" i="4"/>
  <c r="W58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X21" i="4"/>
  <c r="X22" i="4"/>
  <c r="X23" i="4"/>
  <c r="X24" i="4"/>
  <c r="X25" i="4"/>
  <c r="X26" i="4"/>
  <c r="W21" i="4"/>
  <c r="W22" i="4"/>
  <c r="W23" i="4"/>
  <c r="W24" i="4"/>
  <c r="W25" i="4"/>
  <c r="W26" i="4"/>
  <c r="X13" i="4"/>
  <c r="K12" i="4" s="1"/>
  <c r="X14" i="4"/>
  <c r="X15" i="4"/>
  <c r="X16" i="4"/>
  <c r="X17" i="4"/>
  <c r="W13" i="4"/>
  <c r="W14" i="4"/>
  <c r="W15" i="4"/>
  <c r="W16" i="4"/>
  <c r="W17" i="4"/>
  <c r="Y4" i="4"/>
  <c r="Y5" i="4"/>
  <c r="Y6" i="4"/>
  <c r="Y9" i="4"/>
  <c r="A7" i="4" s="1"/>
  <c r="X3" i="4"/>
  <c r="P5" i="4" s="1"/>
  <c r="X4" i="4"/>
  <c r="X5" i="4"/>
  <c r="X6" i="4"/>
  <c r="X7" i="4"/>
  <c r="Y7" i="4" s="1"/>
  <c r="X8" i="4"/>
  <c r="X9" i="4"/>
  <c r="K7" i="4" s="1"/>
  <c r="W3" i="4"/>
  <c r="W4" i="4"/>
  <c r="W5" i="4"/>
  <c r="W6" i="4"/>
  <c r="W7" i="4"/>
  <c r="W8" i="4"/>
  <c r="W9" i="4"/>
  <c r="F7" i="4" s="1"/>
  <c r="C61" i="3"/>
  <c r="B61" i="3"/>
  <c r="C56" i="3"/>
  <c r="C57" i="3"/>
  <c r="C58" i="3"/>
  <c r="C59" i="3"/>
  <c r="C60" i="3"/>
  <c r="B56" i="3"/>
  <c r="B57" i="3"/>
  <c r="B58" i="3"/>
  <c r="B59" i="3"/>
  <c r="B60" i="3"/>
  <c r="C42" i="3"/>
  <c r="C43" i="3"/>
  <c r="C44" i="3"/>
  <c r="C45" i="3"/>
  <c r="C46" i="3"/>
  <c r="C47" i="3"/>
  <c r="C48" i="3"/>
  <c r="C49" i="3"/>
  <c r="C50" i="3"/>
  <c r="C51" i="3"/>
  <c r="B42" i="3"/>
  <c r="B43" i="3"/>
  <c r="B44" i="3"/>
  <c r="B45" i="3"/>
  <c r="B46" i="3"/>
  <c r="B47" i="3"/>
  <c r="B48" i="3"/>
  <c r="B49" i="3"/>
  <c r="B50" i="3"/>
  <c r="B51" i="3"/>
  <c r="C32" i="3"/>
  <c r="C33" i="3"/>
  <c r="C34" i="3"/>
  <c r="C35" i="3"/>
  <c r="C36" i="3"/>
  <c r="C37" i="3"/>
  <c r="B32" i="3"/>
  <c r="B33" i="3"/>
  <c r="B34" i="3"/>
  <c r="B35" i="3"/>
  <c r="B36" i="3"/>
  <c r="B37" i="3"/>
  <c r="C23" i="3"/>
  <c r="C24" i="3"/>
  <c r="C25" i="3"/>
  <c r="C26" i="3"/>
  <c r="C27" i="3"/>
  <c r="B23" i="3"/>
  <c r="B24" i="3"/>
  <c r="B25" i="3"/>
  <c r="B26" i="3"/>
  <c r="B27" i="3"/>
  <c r="C12" i="3"/>
  <c r="C13" i="3"/>
  <c r="C14" i="3"/>
  <c r="C15" i="3"/>
  <c r="C16" i="3"/>
  <c r="C17" i="3"/>
  <c r="C18" i="3"/>
  <c r="B12" i="3"/>
  <c r="B13" i="3"/>
  <c r="B14" i="3"/>
  <c r="B15" i="3"/>
  <c r="B16" i="3"/>
  <c r="B17" i="3"/>
  <c r="B18" i="3"/>
  <c r="B8" i="3"/>
  <c r="B7" i="3"/>
  <c r="B6" i="3"/>
  <c r="B5" i="3"/>
  <c r="B4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N2" i="2"/>
  <c r="N7" i="2"/>
  <c r="N9" i="2"/>
  <c r="N15" i="2"/>
  <c r="N17" i="2"/>
  <c r="N23" i="2"/>
  <c r="N25" i="2"/>
  <c r="N31" i="2"/>
  <c r="N33" i="2"/>
  <c r="N39" i="2"/>
  <c r="N41" i="2"/>
  <c r="N47" i="2"/>
  <c r="N49" i="2"/>
  <c r="N52" i="2"/>
  <c r="N55" i="2"/>
  <c r="N57" i="2"/>
  <c r="N60" i="2"/>
  <c r="N63" i="2"/>
  <c r="N65" i="2"/>
  <c r="N68" i="2"/>
  <c r="N71" i="2"/>
  <c r="N73" i="2"/>
  <c r="N76" i="2"/>
  <c r="N79" i="2"/>
  <c r="N81" i="2"/>
  <c r="N84" i="2"/>
  <c r="N87" i="2"/>
  <c r="N89" i="2"/>
  <c r="N94" i="2"/>
  <c r="N95" i="2"/>
  <c r="N97" i="2"/>
  <c r="N102" i="2"/>
  <c r="N103" i="2"/>
  <c r="N105" i="2"/>
  <c r="N110" i="2"/>
  <c r="N111" i="2"/>
  <c r="N113" i="2"/>
  <c r="N118" i="2"/>
  <c r="N119" i="2"/>
  <c r="N121" i="2"/>
  <c r="N126" i="2"/>
  <c r="N127" i="2"/>
  <c r="N129" i="2"/>
  <c r="N134" i="2"/>
  <c r="N135" i="2"/>
  <c r="N137" i="2"/>
  <c r="N142" i="2"/>
  <c r="N143" i="2"/>
  <c r="N145" i="2"/>
  <c r="N150" i="2"/>
  <c r="N151" i="2"/>
  <c r="N153" i="2"/>
  <c r="N158" i="2"/>
  <c r="N159" i="2"/>
  <c r="N161" i="2"/>
  <c r="N166" i="2"/>
  <c r="N167" i="2"/>
  <c r="N169" i="2"/>
  <c r="N174" i="2"/>
  <c r="N175" i="2"/>
  <c r="N177" i="2"/>
  <c r="N182" i="2"/>
  <c r="N183" i="2"/>
  <c r="N185" i="2"/>
  <c r="N190" i="2"/>
  <c r="N191" i="2"/>
  <c r="N193" i="2"/>
  <c r="N198" i="2"/>
  <c r="N199" i="2"/>
  <c r="N201" i="2"/>
  <c r="N206" i="2"/>
  <c r="N207" i="2"/>
  <c r="N209" i="2"/>
  <c r="N214" i="2"/>
  <c r="N215" i="2"/>
  <c r="N222" i="2"/>
  <c r="N223" i="2"/>
  <c r="N230" i="2"/>
  <c r="N231" i="2"/>
  <c r="N238" i="2"/>
  <c r="N239" i="2"/>
  <c r="N246" i="2"/>
  <c r="N247" i="2"/>
  <c r="N254" i="2"/>
  <c r="N255" i="2"/>
  <c r="N262" i="2"/>
  <c r="N263" i="2"/>
  <c r="N270" i="2"/>
  <c r="N271" i="2"/>
  <c r="N278" i="2"/>
  <c r="N279" i="2"/>
  <c r="N286" i="2"/>
  <c r="N287" i="2"/>
  <c r="N294" i="2"/>
  <c r="N295" i="2"/>
  <c r="N302" i="2"/>
  <c r="N303" i="2"/>
  <c r="N310" i="2"/>
  <c r="N311" i="2"/>
  <c r="N318" i="2"/>
  <c r="N319" i="2"/>
  <c r="N326" i="2"/>
  <c r="N327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8" i="2"/>
  <c r="N359" i="2"/>
  <c r="N366" i="2"/>
  <c r="N367" i="2"/>
  <c r="N374" i="2"/>
  <c r="N375" i="2"/>
  <c r="N382" i="2"/>
  <c r="N383" i="2"/>
  <c r="N390" i="2"/>
  <c r="N391" i="2"/>
  <c r="N398" i="2"/>
  <c r="N399" i="2"/>
  <c r="N406" i="2"/>
  <c r="N407" i="2"/>
  <c r="N414" i="2"/>
  <c r="N415" i="2"/>
  <c r="K2" i="2"/>
  <c r="K3" i="2"/>
  <c r="N3" i="2" s="1"/>
  <c r="K4" i="2"/>
  <c r="N4" i="2" s="1"/>
  <c r="K5" i="2"/>
  <c r="N5" i="2" s="1"/>
  <c r="K6" i="2"/>
  <c r="N6" i="2" s="1"/>
  <c r="K7" i="2"/>
  <c r="K8" i="2"/>
  <c r="N8" i="2" s="1"/>
  <c r="K9" i="2"/>
  <c r="K10" i="2"/>
  <c r="N10" i="2" s="1"/>
  <c r="K11" i="2"/>
  <c r="N11" i="2" s="1"/>
  <c r="K12" i="2"/>
  <c r="N12" i="2" s="1"/>
  <c r="K13" i="2"/>
  <c r="N13" i="2" s="1"/>
  <c r="K14" i="2"/>
  <c r="N14" i="2" s="1"/>
  <c r="K15" i="2"/>
  <c r="K16" i="2"/>
  <c r="N16" i="2" s="1"/>
  <c r="K17" i="2"/>
  <c r="K18" i="2"/>
  <c r="N18" i="2" s="1"/>
  <c r="K19" i="2"/>
  <c r="N19" i="2" s="1"/>
  <c r="K20" i="2"/>
  <c r="N20" i="2" s="1"/>
  <c r="K21" i="2"/>
  <c r="N21" i="2" s="1"/>
  <c r="K22" i="2"/>
  <c r="N22" i="2" s="1"/>
  <c r="K23" i="2"/>
  <c r="K24" i="2"/>
  <c r="N24" i="2" s="1"/>
  <c r="K25" i="2"/>
  <c r="K26" i="2"/>
  <c r="N26" i="2" s="1"/>
  <c r="K27" i="2"/>
  <c r="N27" i="2" s="1"/>
  <c r="K28" i="2"/>
  <c r="N28" i="2" s="1"/>
  <c r="K29" i="2"/>
  <c r="N29" i="2" s="1"/>
  <c r="K30" i="2"/>
  <c r="N30" i="2" s="1"/>
  <c r="K31" i="2"/>
  <c r="K32" i="2"/>
  <c r="N32" i="2" s="1"/>
  <c r="K33" i="2"/>
  <c r="K34" i="2"/>
  <c r="N34" i="2" s="1"/>
  <c r="K35" i="2"/>
  <c r="N35" i="2" s="1"/>
  <c r="K36" i="2"/>
  <c r="N36" i="2" s="1"/>
  <c r="K37" i="2"/>
  <c r="N37" i="2" s="1"/>
  <c r="K38" i="2"/>
  <c r="N38" i="2" s="1"/>
  <c r="K39" i="2"/>
  <c r="K40" i="2"/>
  <c r="N40" i="2" s="1"/>
  <c r="K41" i="2"/>
  <c r="K42" i="2"/>
  <c r="N42" i="2" s="1"/>
  <c r="K43" i="2"/>
  <c r="N43" i="2" s="1"/>
  <c r="K44" i="2"/>
  <c r="N44" i="2" s="1"/>
  <c r="K45" i="2"/>
  <c r="N45" i="2" s="1"/>
  <c r="K46" i="2"/>
  <c r="N46" i="2" s="1"/>
  <c r="K47" i="2"/>
  <c r="K48" i="2"/>
  <c r="N48" i="2" s="1"/>
  <c r="K49" i="2"/>
  <c r="K50" i="2"/>
  <c r="N50" i="2" s="1"/>
  <c r="K51" i="2"/>
  <c r="N51" i="2" s="1"/>
  <c r="K52" i="2"/>
  <c r="K53" i="2"/>
  <c r="N53" i="2" s="1"/>
  <c r="K54" i="2"/>
  <c r="N54" i="2" s="1"/>
  <c r="K55" i="2"/>
  <c r="K56" i="2"/>
  <c r="N56" i="2" s="1"/>
  <c r="K57" i="2"/>
  <c r="K58" i="2"/>
  <c r="N58" i="2" s="1"/>
  <c r="K59" i="2"/>
  <c r="N59" i="2" s="1"/>
  <c r="K60" i="2"/>
  <c r="K61" i="2"/>
  <c r="N61" i="2" s="1"/>
  <c r="K62" i="2"/>
  <c r="N62" i="2" s="1"/>
  <c r="K63" i="2"/>
  <c r="K64" i="2"/>
  <c r="N64" i="2" s="1"/>
  <c r="K65" i="2"/>
  <c r="K66" i="2"/>
  <c r="N66" i="2" s="1"/>
  <c r="K67" i="2"/>
  <c r="N67" i="2" s="1"/>
  <c r="K68" i="2"/>
  <c r="K69" i="2"/>
  <c r="N69" i="2" s="1"/>
  <c r="K70" i="2"/>
  <c r="N70" i="2" s="1"/>
  <c r="K71" i="2"/>
  <c r="K72" i="2"/>
  <c r="N72" i="2" s="1"/>
  <c r="K73" i="2"/>
  <c r="K74" i="2"/>
  <c r="N74" i="2" s="1"/>
  <c r="K75" i="2"/>
  <c r="N75" i="2" s="1"/>
  <c r="K76" i="2"/>
  <c r="K77" i="2"/>
  <c r="N77" i="2" s="1"/>
  <c r="K78" i="2"/>
  <c r="N78" i="2" s="1"/>
  <c r="K79" i="2"/>
  <c r="K80" i="2"/>
  <c r="N80" i="2" s="1"/>
  <c r="K81" i="2"/>
  <c r="K82" i="2"/>
  <c r="N82" i="2" s="1"/>
  <c r="K83" i="2"/>
  <c r="N83" i="2" s="1"/>
  <c r="K84" i="2"/>
  <c r="K85" i="2"/>
  <c r="N85" i="2" s="1"/>
  <c r="K86" i="2"/>
  <c r="N86" i="2" s="1"/>
  <c r="K87" i="2"/>
  <c r="K88" i="2"/>
  <c r="N88" i="2" s="1"/>
  <c r="K89" i="2"/>
  <c r="K90" i="2"/>
  <c r="N90" i="2" s="1"/>
  <c r="K91" i="2"/>
  <c r="N91" i="2" s="1"/>
  <c r="K92" i="2"/>
  <c r="N92" i="2" s="1"/>
  <c r="K93" i="2"/>
  <c r="N93" i="2" s="1"/>
  <c r="K94" i="2"/>
  <c r="K95" i="2"/>
  <c r="K96" i="2"/>
  <c r="N96" i="2" s="1"/>
  <c r="K97" i="2"/>
  <c r="K98" i="2"/>
  <c r="N98" i="2" s="1"/>
  <c r="K99" i="2"/>
  <c r="N99" i="2" s="1"/>
  <c r="K100" i="2"/>
  <c r="N100" i="2" s="1"/>
  <c r="K101" i="2"/>
  <c r="N101" i="2" s="1"/>
  <c r="K102" i="2"/>
  <c r="K103" i="2"/>
  <c r="K104" i="2"/>
  <c r="N104" i="2" s="1"/>
  <c r="K105" i="2"/>
  <c r="K106" i="2"/>
  <c r="N106" i="2" s="1"/>
  <c r="K107" i="2"/>
  <c r="N107" i="2" s="1"/>
  <c r="K108" i="2"/>
  <c r="N108" i="2" s="1"/>
  <c r="K109" i="2"/>
  <c r="N109" i="2" s="1"/>
  <c r="K110" i="2"/>
  <c r="K111" i="2"/>
  <c r="K112" i="2"/>
  <c r="N112" i="2" s="1"/>
  <c r="K113" i="2"/>
  <c r="K114" i="2"/>
  <c r="N114" i="2" s="1"/>
  <c r="K115" i="2"/>
  <c r="N115" i="2" s="1"/>
  <c r="K116" i="2"/>
  <c r="N116" i="2" s="1"/>
  <c r="K117" i="2"/>
  <c r="N117" i="2" s="1"/>
  <c r="K118" i="2"/>
  <c r="K119" i="2"/>
  <c r="K120" i="2"/>
  <c r="N120" i="2" s="1"/>
  <c r="K121" i="2"/>
  <c r="K122" i="2"/>
  <c r="N122" i="2" s="1"/>
  <c r="K123" i="2"/>
  <c r="N123" i="2" s="1"/>
  <c r="K124" i="2"/>
  <c r="N124" i="2" s="1"/>
  <c r="K125" i="2"/>
  <c r="N125" i="2" s="1"/>
  <c r="K126" i="2"/>
  <c r="K127" i="2"/>
  <c r="K128" i="2"/>
  <c r="N128" i="2" s="1"/>
  <c r="K129" i="2"/>
  <c r="K130" i="2"/>
  <c r="N130" i="2" s="1"/>
  <c r="K131" i="2"/>
  <c r="N131" i="2" s="1"/>
  <c r="K132" i="2"/>
  <c r="N132" i="2" s="1"/>
  <c r="K133" i="2"/>
  <c r="N133" i="2" s="1"/>
  <c r="K134" i="2"/>
  <c r="K135" i="2"/>
  <c r="K136" i="2"/>
  <c r="N136" i="2" s="1"/>
  <c r="K137" i="2"/>
  <c r="K138" i="2"/>
  <c r="N138" i="2" s="1"/>
  <c r="K139" i="2"/>
  <c r="N139" i="2" s="1"/>
  <c r="K140" i="2"/>
  <c r="N140" i="2" s="1"/>
  <c r="K141" i="2"/>
  <c r="N141" i="2" s="1"/>
  <c r="K142" i="2"/>
  <c r="K143" i="2"/>
  <c r="K144" i="2"/>
  <c r="N144" i="2" s="1"/>
  <c r="K145" i="2"/>
  <c r="K146" i="2"/>
  <c r="N146" i="2" s="1"/>
  <c r="K147" i="2"/>
  <c r="N147" i="2" s="1"/>
  <c r="K148" i="2"/>
  <c r="N148" i="2" s="1"/>
  <c r="K149" i="2"/>
  <c r="N149" i="2" s="1"/>
  <c r="K150" i="2"/>
  <c r="K151" i="2"/>
  <c r="K152" i="2"/>
  <c r="N152" i="2" s="1"/>
  <c r="K153" i="2"/>
  <c r="K154" i="2"/>
  <c r="N154" i="2" s="1"/>
  <c r="K155" i="2"/>
  <c r="N155" i="2" s="1"/>
  <c r="K156" i="2"/>
  <c r="N156" i="2" s="1"/>
  <c r="K157" i="2"/>
  <c r="N157" i="2" s="1"/>
  <c r="K158" i="2"/>
  <c r="K159" i="2"/>
  <c r="K160" i="2"/>
  <c r="N160" i="2" s="1"/>
  <c r="K161" i="2"/>
  <c r="K162" i="2"/>
  <c r="N162" i="2" s="1"/>
  <c r="K163" i="2"/>
  <c r="N163" i="2" s="1"/>
  <c r="K164" i="2"/>
  <c r="N164" i="2" s="1"/>
  <c r="K165" i="2"/>
  <c r="N165" i="2" s="1"/>
  <c r="K166" i="2"/>
  <c r="K167" i="2"/>
  <c r="K168" i="2"/>
  <c r="N168" i="2" s="1"/>
  <c r="K169" i="2"/>
  <c r="K170" i="2"/>
  <c r="N170" i="2" s="1"/>
  <c r="K171" i="2"/>
  <c r="N171" i="2" s="1"/>
  <c r="K172" i="2"/>
  <c r="N172" i="2" s="1"/>
  <c r="K173" i="2"/>
  <c r="N173" i="2" s="1"/>
  <c r="K174" i="2"/>
  <c r="K175" i="2"/>
  <c r="K176" i="2"/>
  <c r="N176" i="2" s="1"/>
  <c r="K177" i="2"/>
  <c r="K178" i="2"/>
  <c r="N178" i="2" s="1"/>
  <c r="K179" i="2"/>
  <c r="N179" i="2" s="1"/>
  <c r="K180" i="2"/>
  <c r="N180" i="2" s="1"/>
  <c r="K181" i="2"/>
  <c r="N181" i="2" s="1"/>
  <c r="K182" i="2"/>
  <c r="K183" i="2"/>
  <c r="K184" i="2"/>
  <c r="N184" i="2" s="1"/>
  <c r="K185" i="2"/>
  <c r="K186" i="2"/>
  <c r="N186" i="2" s="1"/>
  <c r="K187" i="2"/>
  <c r="N187" i="2" s="1"/>
  <c r="K188" i="2"/>
  <c r="N188" i="2" s="1"/>
  <c r="K189" i="2"/>
  <c r="N189" i="2" s="1"/>
  <c r="K190" i="2"/>
  <c r="K191" i="2"/>
  <c r="K192" i="2"/>
  <c r="N192" i="2" s="1"/>
  <c r="K193" i="2"/>
  <c r="K194" i="2"/>
  <c r="N194" i="2" s="1"/>
  <c r="K195" i="2"/>
  <c r="N195" i="2" s="1"/>
  <c r="K196" i="2"/>
  <c r="N196" i="2" s="1"/>
  <c r="K197" i="2"/>
  <c r="N197" i="2" s="1"/>
  <c r="K198" i="2"/>
  <c r="K199" i="2"/>
  <c r="K200" i="2"/>
  <c r="N200" i="2" s="1"/>
  <c r="K201" i="2"/>
  <c r="K202" i="2"/>
  <c r="N202" i="2" s="1"/>
  <c r="K203" i="2"/>
  <c r="N203" i="2" s="1"/>
  <c r="K204" i="2"/>
  <c r="N204" i="2" s="1"/>
  <c r="K205" i="2"/>
  <c r="N205" i="2" s="1"/>
  <c r="K206" i="2"/>
  <c r="K207" i="2"/>
  <c r="K208" i="2"/>
  <c r="N208" i="2" s="1"/>
  <c r="K209" i="2"/>
  <c r="K210" i="2"/>
  <c r="N210" i="2" s="1"/>
  <c r="K211" i="2"/>
  <c r="N211" i="2" s="1"/>
  <c r="K212" i="2"/>
  <c r="N212" i="2" s="1"/>
  <c r="K213" i="2"/>
  <c r="N213" i="2" s="1"/>
  <c r="K214" i="2"/>
  <c r="K215" i="2"/>
  <c r="K216" i="2"/>
  <c r="N216" i="2" s="1"/>
  <c r="K217" i="2"/>
  <c r="N217" i="2" s="1"/>
  <c r="K218" i="2"/>
  <c r="N218" i="2" s="1"/>
  <c r="K219" i="2"/>
  <c r="N219" i="2" s="1"/>
  <c r="K220" i="2"/>
  <c r="N220" i="2" s="1"/>
  <c r="K221" i="2"/>
  <c r="N221" i="2" s="1"/>
  <c r="K222" i="2"/>
  <c r="K223" i="2"/>
  <c r="K224" i="2"/>
  <c r="N224" i="2" s="1"/>
  <c r="K225" i="2"/>
  <c r="N225" i="2" s="1"/>
  <c r="K226" i="2"/>
  <c r="N226" i="2" s="1"/>
  <c r="K227" i="2"/>
  <c r="N227" i="2" s="1"/>
  <c r="K228" i="2"/>
  <c r="N228" i="2" s="1"/>
  <c r="K229" i="2"/>
  <c r="N229" i="2" s="1"/>
  <c r="K230" i="2"/>
  <c r="K231" i="2"/>
  <c r="K232" i="2"/>
  <c r="N232" i="2" s="1"/>
  <c r="K233" i="2"/>
  <c r="N233" i="2" s="1"/>
  <c r="K234" i="2"/>
  <c r="N234" i="2" s="1"/>
  <c r="K235" i="2"/>
  <c r="N235" i="2" s="1"/>
  <c r="K236" i="2"/>
  <c r="N236" i="2" s="1"/>
  <c r="K237" i="2"/>
  <c r="N237" i="2" s="1"/>
  <c r="K238" i="2"/>
  <c r="K239" i="2"/>
  <c r="K240" i="2"/>
  <c r="N240" i="2" s="1"/>
  <c r="K241" i="2"/>
  <c r="N241" i="2" s="1"/>
  <c r="K242" i="2"/>
  <c r="N242" i="2" s="1"/>
  <c r="K243" i="2"/>
  <c r="N243" i="2" s="1"/>
  <c r="K244" i="2"/>
  <c r="N244" i="2" s="1"/>
  <c r="K245" i="2"/>
  <c r="N245" i="2" s="1"/>
  <c r="K246" i="2"/>
  <c r="K247" i="2"/>
  <c r="K248" i="2"/>
  <c r="N248" i="2" s="1"/>
  <c r="K249" i="2"/>
  <c r="N249" i="2" s="1"/>
  <c r="K250" i="2"/>
  <c r="N250" i="2" s="1"/>
  <c r="K251" i="2"/>
  <c r="N251" i="2" s="1"/>
  <c r="K252" i="2"/>
  <c r="N252" i="2" s="1"/>
  <c r="K253" i="2"/>
  <c r="N253" i="2" s="1"/>
  <c r="K254" i="2"/>
  <c r="K255" i="2"/>
  <c r="K256" i="2"/>
  <c r="N256" i="2" s="1"/>
  <c r="K257" i="2"/>
  <c r="N257" i="2" s="1"/>
  <c r="K258" i="2"/>
  <c r="N258" i="2" s="1"/>
  <c r="K259" i="2"/>
  <c r="N259" i="2" s="1"/>
  <c r="K260" i="2"/>
  <c r="N260" i="2" s="1"/>
  <c r="K261" i="2"/>
  <c r="N261" i="2" s="1"/>
  <c r="K262" i="2"/>
  <c r="K263" i="2"/>
  <c r="K264" i="2"/>
  <c r="N264" i="2" s="1"/>
  <c r="K265" i="2"/>
  <c r="N265" i="2" s="1"/>
  <c r="K266" i="2"/>
  <c r="N266" i="2" s="1"/>
  <c r="K267" i="2"/>
  <c r="N267" i="2" s="1"/>
  <c r="K268" i="2"/>
  <c r="N268" i="2" s="1"/>
  <c r="K269" i="2"/>
  <c r="N269" i="2" s="1"/>
  <c r="K270" i="2"/>
  <c r="K271" i="2"/>
  <c r="K272" i="2"/>
  <c r="N272" i="2" s="1"/>
  <c r="K273" i="2"/>
  <c r="N273" i="2" s="1"/>
  <c r="K274" i="2"/>
  <c r="N274" i="2" s="1"/>
  <c r="K275" i="2"/>
  <c r="N275" i="2" s="1"/>
  <c r="K276" i="2"/>
  <c r="N276" i="2" s="1"/>
  <c r="K277" i="2"/>
  <c r="N277" i="2" s="1"/>
  <c r="K278" i="2"/>
  <c r="K279" i="2"/>
  <c r="K280" i="2"/>
  <c r="N280" i="2" s="1"/>
  <c r="K281" i="2"/>
  <c r="N281" i="2" s="1"/>
  <c r="K282" i="2"/>
  <c r="N282" i="2" s="1"/>
  <c r="K283" i="2"/>
  <c r="N283" i="2" s="1"/>
  <c r="K284" i="2"/>
  <c r="N284" i="2" s="1"/>
  <c r="K285" i="2"/>
  <c r="N285" i="2" s="1"/>
  <c r="K286" i="2"/>
  <c r="K287" i="2"/>
  <c r="K288" i="2"/>
  <c r="N288" i="2" s="1"/>
  <c r="K289" i="2"/>
  <c r="N289" i="2" s="1"/>
  <c r="K290" i="2"/>
  <c r="N290" i="2" s="1"/>
  <c r="K291" i="2"/>
  <c r="N291" i="2" s="1"/>
  <c r="K292" i="2"/>
  <c r="N292" i="2" s="1"/>
  <c r="K293" i="2"/>
  <c r="N293" i="2" s="1"/>
  <c r="K294" i="2"/>
  <c r="K295" i="2"/>
  <c r="K296" i="2"/>
  <c r="N296" i="2" s="1"/>
  <c r="K297" i="2"/>
  <c r="N297" i="2" s="1"/>
  <c r="K298" i="2"/>
  <c r="N298" i="2" s="1"/>
  <c r="K299" i="2"/>
  <c r="N299" i="2" s="1"/>
  <c r="K300" i="2"/>
  <c r="N300" i="2" s="1"/>
  <c r="K301" i="2"/>
  <c r="N301" i="2" s="1"/>
  <c r="K302" i="2"/>
  <c r="K303" i="2"/>
  <c r="K304" i="2"/>
  <c r="N304" i="2" s="1"/>
  <c r="K305" i="2"/>
  <c r="N305" i="2" s="1"/>
  <c r="K306" i="2"/>
  <c r="N306" i="2" s="1"/>
  <c r="K307" i="2"/>
  <c r="N307" i="2" s="1"/>
  <c r="K308" i="2"/>
  <c r="N308" i="2" s="1"/>
  <c r="K309" i="2"/>
  <c r="N309" i="2" s="1"/>
  <c r="K310" i="2"/>
  <c r="K311" i="2"/>
  <c r="K312" i="2"/>
  <c r="N312" i="2" s="1"/>
  <c r="K313" i="2"/>
  <c r="N313" i="2" s="1"/>
  <c r="K314" i="2"/>
  <c r="N314" i="2" s="1"/>
  <c r="K315" i="2"/>
  <c r="N315" i="2" s="1"/>
  <c r="K316" i="2"/>
  <c r="N316" i="2" s="1"/>
  <c r="K317" i="2"/>
  <c r="N317" i="2" s="1"/>
  <c r="K318" i="2"/>
  <c r="K319" i="2"/>
  <c r="K320" i="2"/>
  <c r="N320" i="2" s="1"/>
  <c r="K321" i="2"/>
  <c r="N321" i="2" s="1"/>
  <c r="K322" i="2"/>
  <c r="N322" i="2" s="1"/>
  <c r="K323" i="2"/>
  <c r="N323" i="2" s="1"/>
  <c r="K324" i="2"/>
  <c r="N324" i="2" s="1"/>
  <c r="K325" i="2"/>
  <c r="N325" i="2" s="1"/>
  <c r="K326" i="2"/>
  <c r="K327" i="2"/>
  <c r="K328" i="2"/>
  <c r="N328" i="2" s="1"/>
  <c r="K329" i="2"/>
  <c r="N329" i="2" s="1"/>
  <c r="K330" i="2"/>
  <c r="N330" i="2" s="1"/>
  <c r="K331" i="2"/>
  <c r="N331" i="2" s="1"/>
  <c r="K332" i="2"/>
  <c r="N332" i="2" s="1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N354" i="2" s="1"/>
  <c r="K355" i="2"/>
  <c r="N355" i="2" s="1"/>
  <c r="K356" i="2"/>
  <c r="N356" i="2" s="1"/>
  <c r="K357" i="2"/>
  <c r="N357" i="2" s="1"/>
  <c r="K358" i="2"/>
  <c r="K359" i="2"/>
  <c r="K360" i="2"/>
  <c r="N360" i="2" s="1"/>
  <c r="K361" i="2"/>
  <c r="N361" i="2" s="1"/>
  <c r="K362" i="2"/>
  <c r="N362" i="2" s="1"/>
  <c r="K363" i="2"/>
  <c r="N363" i="2" s="1"/>
  <c r="K364" i="2"/>
  <c r="N364" i="2" s="1"/>
  <c r="K365" i="2"/>
  <c r="N365" i="2" s="1"/>
  <c r="K366" i="2"/>
  <c r="K367" i="2"/>
  <c r="K368" i="2"/>
  <c r="N368" i="2" s="1"/>
  <c r="K369" i="2"/>
  <c r="N369" i="2" s="1"/>
  <c r="K370" i="2"/>
  <c r="N370" i="2" s="1"/>
  <c r="K371" i="2"/>
  <c r="N371" i="2" s="1"/>
  <c r="K372" i="2"/>
  <c r="N372" i="2" s="1"/>
  <c r="K373" i="2"/>
  <c r="N373" i="2" s="1"/>
  <c r="K374" i="2"/>
  <c r="K375" i="2"/>
  <c r="K376" i="2"/>
  <c r="N376" i="2" s="1"/>
  <c r="K377" i="2"/>
  <c r="N377" i="2" s="1"/>
  <c r="K378" i="2"/>
  <c r="N378" i="2" s="1"/>
  <c r="K379" i="2"/>
  <c r="N379" i="2" s="1"/>
  <c r="K380" i="2"/>
  <c r="N380" i="2" s="1"/>
  <c r="K381" i="2"/>
  <c r="N381" i="2" s="1"/>
  <c r="K382" i="2"/>
  <c r="K383" i="2"/>
  <c r="K384" i="2"/>
  <c r="N384" i="2" s="1"/>
  <c r="K385" i="2"/>
  <c r="N385" i="2" s="1"/>
  <c r="K386" i="2"/>
  <c r="N386" i="2" s="1"/>
  <c r="K387" i="2"/>
  <c r="N387" i="2" s="1"/>
  <c r="K388" i="2"/>
  <c r="N388" i="2" s="1"/>
  <c r="K389" i="2"/>
  <c r="N389" i="2" s="1"/>
  <c r="K390" i="2"/>
  <c r="K391" i="2"/>
  <c r="K392" i="2"/>
  <c r="N392" i="2" s="1"/>
  <c r="K393" i="2"/>
  <c r="N393" i="2" s="1"/>
  <c r="K394" i="2"/>
  <c r="N394" i="2" s="1"/>
  <c r="K395" i="2"/>
  <c r="N395" i="2" s="1"/>
  <c r="K396" i="2"/>
  <c r="N396" i="2" s="1"/>
  <c r="K397" i="2"/>
  <c r="N397" i="2" s="1"/>
  <c r="K398" i="2"/>
  <c r="K399" i="2"/>
  <c r="K400" i="2"/>
  <c r="N400" i="2" s="1"/>
  <c r="K401" i="2"/>
  <c r="N401" i="2" s="1"/>
  <c r="K402" i="2"/>
  <c r="N402" i="2" s="1"/>
  <c r="K403" i="2"/>
  <c r="N403" i="2" s="1"/>
  <c r="K404" i="2"/>
  <c r="N404" i="2" s="1"/>
  <c r="K405" i="2"/>
  <c r="N405" i="2" s="1"/>
  <c r="K406" i="2"/>
  <c r="K407" i="2"/>
  <c r="K408" i="2"/>
  <c r="N408" i="2" s="1"/>
  <c r="K409" i="2"/>
  <c r="N409" i="2" s="1"/>
  <c r="K410" i="2"/>
  <c r="N410" i="2" s="1"/>
  <c r="K411" i="2"/>
  <c r="N411" i="2" s="1"/>
  <c r="K412" i="2"/>
  <c r="N412" i="2" s="1"/>
  <c r="K413" i="2"/>
  <c r="N413" i="2" s="1"/>
  <c r="K414" i="2"/>
  <c r="K415" i="2"/>
  <c r="K416" i="2"/>
  <c r="N416" i="2" s="1"/>
  <c r="K417" i="2"/>
  <c r="N417" i="2" s="1"/>
  <c r="K418" i="2"/>
  <c r="N418" i="2" s="1"/>
  <c r="K419" i="2"/>
  <c r="N419" i="2" s="1"/>
  <c r="K420" i="2"/>
  <c r="N420" i="2" s="1"/>
  <c r="K421" i="2"/>
  <c r="N421" i="2" s="1"/>
  <c r="F5" i="4" l="1"/>
  <c r="K10" i="4"/>
  <c r="K5" i="4"/>
  <c r="Y8" i="4"/>
</calcChain>
</file>

<file path=xl/sharedStrings.xml><?xml version="1.0" encoding="utf-8"?>
<sst xmlns="http://schemas.openxmlformats.org/spreadsheetml/2006/main" count="3128" uniqueCount="522">
  <si>
    <t>Mã giao dịch</t>
  </si>
  <si>
    <t>Ngày giờ bán</t>
  </si>
  <si>
    <t>Tháng</t>
  </si>
  <si>
    <t>Dự án</t>
  </si>
  <si>
    <t>Loại hình BĐS</t>
  </si>
  <si>
    <t>Khu vực</t>
  </si>
  <si>
    <t>Kênh bán</t>
  </si>
  <si>
    <t>Nhân viên sales</t>
  </si>
  <si>
    <t>Diện tích (m²)</t>
  </si>
  <si>
    <t>Đơn giá (trđ/m²)</t>
  </si>
  <si>
    <t>Giá trị hợp đồng (trđ)</t>
  </si>
  <si>
    <t>Chiết khấu (%)</t>
  </si>
  <si>
    <t>Trạng thái</t>
  </si>
  <si>
    <t>Doanh thu ghi nhận (trđ)</t>
  </si>
  <si>
    <t>GD-2026-0001</t>
  </si>
  <si>
    <t>Ecopark Grand</t>
  </si>
  <si>
    <t>Biệt thự</t>
  </si>
  <si>
    <t>Hà Nội</t>
  </si>
  <si>
    <t>Online / Digital</t>
  </si>
  <si>
    <t>Lê Minh Châu</t>
  </si>
  <si>
    <t>Huỷ cọc</t>
  </si>
  <si>
    <t>GD-2026-0002</t>
  </si>
  <si>
    <t>The Manor Central</t>
  </si>
  <si>
    <t>Nhà phố / Liền kề</t>
  </si>
  <si>
    <t>TP. Hồ Chí Minh</t>
  </si>
  <si>
    <t>Sự kiện mở bán</t>
  </si>
  <si>
    <t>Ngô Phương Oanh</t>
  </si>
  <si>
    <t>Đã đặt cọc</t>
  </si>
  <si>
    <t>GD-2026-0003</t>
  </si>
  <si>
    <t>GD-2026-0004</t>
  </si>
  <si>
    <t>GD-2026-0005</t>
  </si>
  <si>
    <t>GD-2026-0006</t>
  </si>
  <si>
    <t>GD-2026-0007</t>
  </si>
  <si>
    <t>GD-2026-0008</t>
  </si>
  <si>
    <t>GD-2026-0009</t>
  </si>
  <si>
    <t>GD-2026-0010</t>
  </si>
  <si>
    <t>GD-2026-0011</t>
  </si>
  <si>
    <t>GD-2026-0012</t>
  </si>
  <si>
    <t>GD-2026-0013</t>
  </si>
  <si>
    <t>GD-2026-0014</t>
  </si>
  <si>
    <t>GD-2026-0015</t>
  </si>
  <si>
    <t>GD-2026-0016</t>
  </si>
  <si>
    <t>GD-2026-0017</t>
  </si>
  <si>
    <t>GD-2026-0018</t>
  </si>
  <si>
    <t>GD-2026-0019</t>
  </si>
  <si>
    <t>GD-2026-0020</t>
  </si>
  <si>
    <t>GD-2026-0021</t>
  </si>
  <si>
    <t>GD-2026-0022</t>
  </si>
  <si>
    <t>GD-2026-0023</t>
  </si>
  <si>
    <t>Vinhome Grand Park</t>
  </si>
  <si>
    <t>Căn hộ chung cư</t>
  </si>
  <si>
    <t>Sàn nội bộ (F1)</t>
  </si>
  <si>
    <t>Trần Thị Bích</t>
  </si>
  <si>
    <t>Đã ký HĐMB</t>
  </si>
  <si>
    <t>GD-2026-0024</t>
  </si>
  <si>
    <t>GD-2026-0025</t>
  </si>
  <si>
    <t>GD-2026-0026</t>
  </si>
  <si>
    <t>GD-2026-0027</t>
  </si>
  <si>
    <t>GD-2026-0028</t>
  </si>
  <si>
    <t>GD-2026-0029</t>
  </si>
  <si>
    <t>GD-2026-0030</t>
  </si>
  <si>
    <t>GD-2026-0031</t>
  </si>
  <si>
    <t>GD-2026-0032</t>
  </si>
  <si>
    <t>GD-2026-0033</t>
  </si>
  <si>
    <t>GD-2026-0034</t>
  </si>
  <si>
    <t>GD-2026-0035</t>
  </si>
  <si>
    <t>GD-2026-0036</t>
  </si>
  <si>
    <t>GD-2026-0037</t>
  </si>
  <si>
    <t>GD-2026-0038</t>
  </si>
  <si>
    <t>GD-2026-0039</t>
  </si>
  <si>
    <t>GD-2026-0040</t>
  </si>
  <si>
    <t>GD-2026-0041</t>
  </si>
  <si>
    <t>GD-2026-0042</t>
  </si>
  <si>
    <t>GD-2026-0043</t>
  </si>
  <si>
    <t>GD-2026-0044</t>
  </si>
  <si>
    <t>GD-2026-0045</t>
  </si>
  <si>
    <t>Eco Green Sài Gòn</t>
  </si>
  <si>
    <t>Long An</t>
  </si>
  <si>
    <t>Khách giới thiệu</t>
  </si>
  <si>
    <t>Bùi Hải Nam</t>
  </si>
  <si>
    <t>GD-2026-0046</t>
  </si>
  <si>
    <t>GD-2026-0047</t>
  </si>
  <si>
    <t>GD-2026-0048</t>
  </si>
  <si>
    <t>GD-2026-0049</t>
  </si>
  <si>
    <t>GD-2026-0050</t>
  </si>
  <si>
    <t>GD-2026-0051</t>
  </si>
  <si>
    <t>GD-2026-0052</t>
  </si>
  <si>
    <t>GD-2026-0053</t>
  </si>
  <si>
    <t>GD-2026-0054</t>
  </si>
  <si>
    <t>GD-2026-0055</t>
  </si>
  <si>
    <t>GD-2026-0056</t>
  </si>
  <si>
    <t>GD-2026-0057</t>
  </si>
  <si>
    <t>GD-2026-0058</t>
  </si>
  <si>
    <t>GD-2026-0059</t>
  </si>
  <si>
    <t>GD-2026-0060</t>
  </si>
  <si>
    <t>GD-2026-0061</t>
  </si>
  <si>
    <t>GD-2026-0062</t>
  </si>
  <si>
    <t>GD-2026-0063</t>
  </si>
  <si>
    <t>GD-2026-0064</t>
  </si>
  <si>
    <t>GD-2026-0065</t>
  </si>
  <si>
    <t>GD-2026-0066</t>
  </si>
  <si>
    <t>Masteri Central</t>
  </si>
  <si>
    <t>GD-2026-0067</t>
  </si>
  <si>
    <t>Đà Nẵng</t>
  </si>
  <si>
    <t>GD-2026-0068</t>
  </si>
  <si>
    <t>Vạn Phúc City</t>
  </si>
  <si>
    <t>Shophouse</t>
  </si>
  <si>
    <t>Đồng Nai</t>
  </si>
  <si>
    <t>Đại lý F2</t>
  </si>
  <si>
    <t>Vũ Đình Hùng</t>
  </si>
  <si>
    <t>GD-2026-0069</t>
  </si>
  <si>
    <t>The Sunrise Riverside</t>
  </si>
  <si>
    <t>GD-2026-0070</t>
  </si>
  <si>
    <t>GD-2026-0071</t>
  </si>
  <si>
    <t>GD-2026-0072</t>
  </si>
  <si>
    <t>GD-2026-0073</t>
  </si>
  <si>
    <t>GD-2026-0074</t>
  </si>
  <si>
    <t>GD-2026-0075</t>
  </si>
  <si>
    <t>GD-2026-0076</t>
  </si>
  <si>
    <t>GD-2026-0077</t>
  </si>
  <si>
    <t>GD-2026-0078</t>
  </si>
  <si>
    <t>GD-2026-0079</t>
  </si>
  <si>
    <t>GD-2026-0080</t>
  </si>
  <si>
    <t>GD-2026-0081</t>
  </si>
  <si>
    <t>GD-2026-0082</t>
  </si>
  <si>
    <t>GD-2026-0083</t>
  </si>
  <si>
    <t>GD-2026-0084</t>
  </si>
  <si>
    <t>GD-2026-0085</t>
  </si>
  <si>
    <t>GD-2026-0086</t>
  </si>
  <si>
    <t>GD-2026-0087</t>
  </si>
  <si>
    <t>GD-2026-0088</t>
  </si>
  <si>
    <t>GD-2026-0089</t>
  </si>
  <si>
    <t>GD-2026-0090</t>
  </si>
  <si>
    <t>GD-2026-0091</t>
  </si>
  <si>
    <t>Hoàng Thị Giang</t>
  </si>
  <si>
    <t>GD-2026-0092</t>
  </si>
  <si>
    <t>GD-2026-0093</t>
  </si>
  <si>
    <t>GD-2026-0094</t>
  </si>
  <si>
    <t>GD-2026-0095</t>
  </si>
  <si>
    <t>GD-2026-0096</t>
  </si>
  <si>
    <t>GD-2026-0097</t>
  </si>
  <si>
    <t>GD-2026-0098</t>
  </si>
  <si>
    <t>GD-2026-0099</t>
  </si>
  <si>
    <t>GD-2026-0100</t>
  </si>
  <si>
    <t>GD-2026-0101</t>
  </si>
  <si>
    <t>GD-2026-0102</t>
  </si>
  <si>
    <t>GD-2026-0103</t>
  </si>
  <si>
    <t>GD-2026-0104</t>
  </si>
  <si>
    <t>GD-2026-0105</t>
  </si>
  <si>
    <t>GD-2026-0106</t>
  </si>
  <si>
    <t>GD-2026-0107</t>
  </si>
  <si>
    <t>GD-2026-0108</t>
  </si>
  <si>
    <t>GD-2026-0109</t>
  </si>
  <si>
    <t>GD-2026-0110</t>
  </si>
  <si>
    <t>GD-2026-0111</t>
  </si>
  <si>
    <t>GD-2026-0112</t>
  </si>
  <si>
    <t>Bình Dương</t>
  </si>
  <si>
    <t>Đỗ Thanh Lam</t>
  </si>
  <si>
    <t>GD-2026-0113</t>
  </si>
  <si>
    <t>GD-2026-0114</t>
  </si>
  <si>
    <t>GD-2026-0115</t>
  </si>
  <si>
    <t>GD-2026-0116</t>
  </si>
  <si>
    <t>GD-2026-0117</t>
  </si>
  <si>
    <t>GD-2026-0118</t>
  </si>
  <si>
    <t>GD-2026-0119</t>
  </si>
  <si>
    <t>GD-2026-0120</t>
  </si>
  <si>
    <t>GD-2026-0121</t>
  </si>
  <si>
    <t>GD-2026-0122</t>
  </si>
  <si>
    <t>GD-2026-0123</t>
  </si>
  <si>
    <t>GD-2026-0124</t>
  </si>
  <si>
    <t>GD-2026-0125</t>
  </si>
  <si>
    <t>GD-2026-0126</t>
  </si>
  <si>
    <t>GD-2026-0127</t>
  </si>
  <si>
    <t>GD-2026-0128</t>
  </si>
  <si>
    <t>GD-2026-0129</t>
  </si>
  <si>
    <t>GD-2026-0130</t>
  </si>
  <si>
    <t>GD-2026-0131</t>
  </si>
  <si>
    <t>GD-2026-0132</t>
  </si>
  <si>
    <t>GD-2026-0133</t>
  </si>
  <si>
    <t>Golden Land Long An</t>
  </si>
  <si>
    <t>Đất nền</t>
  </si>
  <si>
    <t>GD-2026-0134</t>
  </si>
  <si>
    <t>GD-2026-0135</t>
  </si>
  <si>
    <t>GD-2026-0136</t>
  </si>
  <si>
    <t>GD-2026-0137</t>
  </si>
  <si>
    <t>GD-2026-0138</t>
  </si>
  <si>
    <t>GD-2026-0139</t>
  </si>
  <si>
    <t>GD-2026-0140</t>
  </si>
  <si>
    <t>GD-2026-0141</t>
  </si>
  <si>
    <t>GD-2026-0142</t>
  </si>
  <si>
    <t>GD-2026-0143</t>
  </si>
  <si>
    <t>GD-2026-0144</t>
  </si>
  <si>
    <t>GD-2026-0145</t>
  </si>
  <si>
    <t>GD-2026-0146</t>
  </si>
  <si>
    <t>GD-2026-0147</t>
  </si>
  <si>
    <t>GD-2026-0148</t>
  </si>
  <si>
    <t>GD-2026-0149</t>
  </si>
  <si>
    <t>GD-2026-0150</t>
  </si>
  <si>
    <t>GD-2026-0151</t>
  </si>
  <si>
    <t>GD-2026-0152</t>
  </si>
  <si>
    <t>GD-2026-0153</t>
  </si>
  <si>
    <t>GD-2026-0154</t>
  </si>
  <si>
    <t>GD-2026-0155</t>
  </si>
  <si>
    <t>GD-2026-0156</t>
  </si>
  <si>
    <t>GD-2026-0157</t>
  </si>
  <si>
    <t>GD-2026-0158</t>
  </si>
  <si>
    <t>GD-2026-0159</t>
  </si>
  <si>
    <t>GD-2026-0160</t>
  </si>
  <si>
    <t>GD-2026-0161</t>
  </si>
  <si>
    <t>GD-2026-0162</t>
  </si>
  <si>
    <t>GD-2026-0163</t>
  </si>
  <si>
    <t>GD-2026-0164</t>
  </si>
  <si>
    <t>GD-2026-0165</t>
  </si>
  <si>
    <t>GD-2026-0166</t>
  </si>
  <si>
    <t>GD-2026-0167</t>
  </si>
  <si>
    <t>GD-2026-0168</t>
  </si>
  <si>
    <t>GD-2026-0169</t>
  </si>
  <si>
    <t>GD-2026-0170</t>
  </si>
  <si>
    <t>GD-2026-0171</t>
  </si>
  <si>
    <t>GD-2026-0172</t>
  </si>
  <si>
    <t>GD-2026-0173</t>
  </si>
  <si>
    <t>GD-2026-0174</t>
  </si>
  <si>
    <t>GD-2026-0175</t>
  </si>
  <si>
    <t>GD-2026-0176</t>
  </si>
  <si>
    <t>GD-2026-0177</t>
  </si>
  <si>
    <t>Bien Hoa New City</t>
  </si>
  <si>
    <t>Phạm Quốc Dũng</t>
  </si>
  <si>
    <t>GD-2026-0178</t>
  </si>
  <si>
    <t>GD-2026-0179</t>
  </si>
  <si>
    <t>GD-2026-0180</t>
  </si>
  <si>
    <t>GD-2026-0181</t>
  </si>
  <si>
    <t>GD-2026-0182</t>
  </si>
  <si>
    <t>GD-2026-0183</t>
  </si>
  <si>
    <t>GD-2026-0184</t>
  </si>
  <si>
    <t>GD-2026-0185</t>
  </si>
  <si>
    <t>GD-2026-0186</t>
  </si>
  <si>
    <t>GD-2026-0187</t>
  </si>
  <si>
    <t>GD-2026-0188</t>
  </si>
  <si>
    <t>GD-2026-0189</t>
  </si>
  <si>
    <t>GD-2026-0190</t>
  </si>
  <si>
    <t>GD-2026-0191</t>
  </si>
  <si>
    <t>GD-2026-0192</t>
  </si>
  <si>
    <t>GD-2026-0193</t>
  </si>
  <si>
    <t>GD-2026-0194</t>
  </si>
  <si>
    <t>GD-2026-0195</t>
  </si>
  <si>
    <t>GD-2026-0196</t>
  </si>
  <si>
    <t>GD-2026-0197</t>
  </si>
  <si>
    <t>GD-2026-0198</t>
  </si>
  <si>
    <t>GD-2026-0199</t>
  </si>
  <si>
    <t>Swan Bay Villas</t>
  </si>
  <si>
    <t>GD-2026-0200</t>
  </si>
  <si>
    <t>GD-2026-0201</t>
  </si>
  <si>
    <t>GD-2026-0202</t>
  </si>
  <si>
    <t>GD-2026-0203</t>
  </si>
  <si>
    <t>GD-2026-0204</t>
  </si>
  <si>
    <t>GD-2026-0205</t>
  </si>
  <si>
    <t>GD-2026-0206</t>
  </si>
  <si>
    <t>GD-2026-0207</t>
  </si>
  <si>
    <t>GD-2026-0208</t>
  </si>
  <si>
    <t>GD-2026-0209</t>
  </si>
  <si>
    <t>GD-2026-0210</t>
  </si>
  <si>
    <t>GD-2026-0211</t>
  </si>
  <si>
    <t>GD-2026-0212</t>
  </si>
  <si>
    <t>GD-2026-0213</t>
  </si>
  <si>
    <t>GD-2026-0214</t>
  </si>
  <si>
    <t>GD-2026-0215</t>
  </si>
  <si>
    <t>GD-2026-0216</t>
  </si>
  <si>
    <t>GD-2026-0217</t>
  </si>
  <si>
    <t>GD-2026-0218</t>
  </si>
  <si>
    <t>GD-2026-0219</t>
  </si>
  <si>
    <t>GD-2026-0220</t>
  </si>
  <si>
    <t>GD-2026-0221</t>
  </si>
  <si>
    <t>GD-2026-0222</t>
  </si>
  <si>
    <t>GD-2026-0223</t>
  </si>
  <si>
    <t>GD-2026-0224</t>
  </si>
  <si>
    <t>GD-2026-0225</t>
  </si>
  <si>
    <t>GD-2026-0226</t>
  </si>
  <si>
    <t>GD-2026-0227</t>
  </si>
  <si>
    <t>GD-2026-0228</t>
  </si>
  <si>
    <t>GD-2026-0229</t>
  </si>
  <si>
    <t>GD-2026-0230</t>
  </si>
  <si>
    <t>GD-2026-0231</t>
  </si>
  <si>
    <t>GD-2026-0232</t>
  </si>
  <si>
    <t>GD-2026-0233</t>
  </si>
  <si>
    <t>GD-2026-0234</t>
  </si>
  <si>
    <t>GD-2026-0235</t>
  </si>
  <si>
    <t>GD-2026-0236</t>
  </si>
  <si>
    <t>GD-2026-0237</t>
  </si>
  <si>
    <t>GD-2026-0238</t>
  </si>
  <si>
    <t>GD-2026-0239</t>
  </si>
  <si>
    <t>GD-2026-0240</t>
  </si>
  <si>
    <t>GD-2026-0241</t>
  </si>
  <si>
    <t>GD-2026-0242</t>
  </si>
  <si>
    <t>GD-2026-0243</t>
  </si>
  <si>
    <t>GD-2026-0244</t>
  </si>
  <si>
    <t>GD-2026-0245</t>
  </si>
  <si>
    <t>GD-2026-0246</t>
  </si>
  <si>
    <t>GD-2026-0247</t>
  </si>
  <si>
    <t>GD-2026-0248</t>
  </si>
  <si>
    <t>GD-2026-0249</t>
  </si>
  <si>
    <t>GD-2026-0250</t>
  </si>
  <si>
    <t>GD-2026-0251</t>
  </si>
  <si>
    <t>GD-2026-0252</t>
  </si>
  <si>
    <t>GD-2026-0253</t>
  </si>
  <si>
    <t>GD-2026-0254</t>
  </si>
  <si>
    <t>GD-2026-0255</t>
  </si>
  <si>
    <t>GD-2026-0256</t>
  </si>
  <si>
    <t>GD-2026-0257</t>
  </si>
  <si>
    <t>GD-2026-0258</t>
  </si>
  <si>
    <t>GD-2026-0259</t>
  </si>
  <si>
    <t>GD-2026-0260</t>
  </si>
  <si>
    <t>GD-2026-0261</t>
  </si>
  <si>
    <t>GD-2026-0262</t>
  </si>
  <si>
    <t>GD-2026-0263</t>
  </si>
  <si>
    <t>GD-2026-0264</t>
  </si>
  <si>
    <t>GD-2026-0265</t>
  </si>
  <si>
    <t>GD-2026-0266</t>
  </si>
  <si>
    <t>GD-2026-0267</t>
  </si>
  <si>
    <t>GD-2026-0268</t>
  </si>
  <si>
    <t>GD-2026-0269</t>
  </si>
  <si>
    <t>GD-2026-0270</t>
  </si>
  <si>
    <t>GD-2026-0271</t>
  </si>
  <si>
    <t>GD-2026-0272</t>
  </si>
  <si>
    <t>GD-2026-0273</t>
  </si>
  <si>
    <t>GD-2026-0274</t>
  </si>
  <si>
    <t>GD-2026-0275</t>
  </si>
  <si>
    <t>GD-2026-0276</t>
  </si>
  <si>
    <t>GD-2026-0277</t>
  </si>
  <si>
    <t>GD-2026-0278</t>
  </si>
  <si>
    <t>GD-2026-0279</t>
  </si>
  <si>
    <t>GD-2026-0280</t>
  </si>
  <si>
    <t>GD-2026-0281</t>
  </si>
  <si>
    <t>GD-2026-0282</t>
  </si>
  <si>
    <t>GD-2026-0283</t>
  </si>
  <si>
    <t>GD-2026-0284</t>
  </si>
  <si>
    <t>GD-2026-0285</t>
  </si>
  <si>
    <t>GD-2026-0286</t>
  </si>
  <si>
    <t>GD-2026-0287</t>
  </si>
  <si>
    <t>GD-2026-0288</t>
  </si>
  <si>
    <t>GD-2026-0289</t>
  </si>
  <si>
    <t>GD-2026-0290</t>
  </si>
  <si>
    <t>GD-2026-0291</t>
  </si>
  <si>
    <t>GD-2026-0292</t>
  </si>
  <si>
    <t>GD-2026-0293</t>
  </si>
  <si>
    <t>GD-2026-0294</t>
  </si>
  <si>
    <t>GD-2026-0295</t>
  </si>
  <si>
    <t>GD-2026-0296</t>
  </si>
  <si>
    <t>GD-2026-0297</t>
  </si>
  <si>
    <t>GD-2026-0298</t>
  </si>
  <si>
    <t>GD-2026-0299</t>
  </si>
  <si>
    <t>GD-2026-0300</t>
  </si>
  <si>
    <t>GD-2026-0301</t>
  </si>
  <si>
    <t>GD-2026-0302</t>
  </si>
  <si>
    <t>GD-2026-0303</t>
  </si>
  <si>
    <t>GD-2026-0304</t>
  </si>
  <si>
    <t>GD-2026-0305</t>
  </si>
  <si>
    <t>GD-2026-0306</t>
  </si>
  <si>
    <t>GD-2026-0307</t>
  </si>
  <si>
    <t>GD-2026-0308</t>
  </si>
  <si>
    <t>GD-2026-0309</t>
  </si>
  <si>
    <t>GD-2026-0310</t>
  </si>
  <si>
    <t>GD-2026-0311</t>
  </si>
  <si>
    <t>GD-2026-0312</t>
  </si>
  <si>
    <t>GD-2026-0313</t>
  </si>
  <si>
    <t>GD-2026-0314</t>
  </si>
  <si>
    <t>GD-2026-0315</t>
  </si>
  <si>
    <t>GD-2026-0316</t>
  </si>
  <si>
    <t>GD-2026-0317</t>
  </si>
  <si>
    <t>GD-2026-0318</t>
  </si>
  <si>
    <t>GD-2026-0319</t>
  </si>
  <si>
    <t>GD-2026-0320</t>
  </si>
  <si>
    <t>GD-2026-0321</t>
  </si>
  <si>
    <t>GD-2026-0322</t>
  </si>
  <si>
    <t>GD-2026-0323</t>
  </si>
  <si>
    <t>GD-2026-0324</t>
  </si>
  <si>
    <t>GD-2026-0325</t>
  </si>
  <si>
    <t>GD-2026-0326</t>
  </si>
  <si>
    <t>GD-2026-0327</t>
  </si>
  <si>
    <t>GD-2026-0328</t>
  </si>
  <si>
    <t>GD-2026-0329</t>
  </si>
  <si>
    <t>GD-2026-0330</t>
  </si>
  <si>
    <t>GD-2026-0331</t>
  </si>
  <si>
    <t>GD-2026-0332</t>
  </si>
  <si>
    <t>Ocean Vista Đà Nẵng</t>
  </si>
  <si>
    <t>Condotel</t>
  </si>
  <si>
    <t>GD-2026-0333</t>
  </si>
  <si>
    <t>GD-2026-0334</t>
  </si>
  <si>
    <t>GD-2026-0335</t>
  </si>
  <si>
    <t>GD-2026-0336</t>
  </si>
  <si>
    <t>GD-2026-0337</t>
  </si>
  <si>
    <t>GD-2026-0338</t>
  </si>
  <si>
    <t>GD-2026-0339</t>
  </si>
  <si>
    <t>GD-2026-0340</t>
  </si>
  <si>
    <t>GD-2026-0341</t>
  </si>
  <si>
    <t>GD-2026-0342</t>
  </si>
  <si>
    <t>GD-2026-0343</t>
  </si>
  <si>
    <t>GD-2026-0344</t>
  </si>
  <si>
    <t>GD-2026-0345</t>
  </si>
  <si>
    <t>GD-2026-0346</t>
  </si>
  <si>
    <t>GD-2026-0347</t>
  </si>
  <si>
    <t>GD-2026-0348</t>
  </si>
  <si>
    <t>GD-2026-0349</t>
  </si>
  <si>
    <t>GD-2026-0350</t>
  </si>
  <si>
    <t>GD-2026-0351</t>
  </si>
  <si>
    <t>GD-2026-0352</t>
  </si>
  <si>
    <t>GD-2026-0353</t>
  </si>
  <si>
    <t>Đặng Trung Kiên</t>
  </si>
  <si>
    <t>GD-2026-0354</t>
  </si>
  <si>
    <t>KDC Tân Phú Trung</t>
  </si>
  <si>
    <t>GD-2026-0355</t>
  </si>
  <si>
    <t>GD-2026-0356</t>
  </si>
  <si>
    <t>GD-2026-0357</t>
  </si>
  <si>
    <t>GD-2026-0358</t>
  </si>
  <si>
    <t>GD-2026-0359</t>
  </si>
  <si>
    <t>GD-2026-0360</t>
  </si>
  <si>
    <t>GD-2026-0361</t>
  </si>
  <si>
    <t>GD-2026-0362</t>
  </si>
  <si>
    <t>GD-2026-0363</t>
  </si>
  <si>
    <t>GD-2026-0364</t>
  </si>
  <si>
    <t>GD-2026-0365</t>
  </si>
  <si>
    <t>GD-2026-0366</t>
  </si>
  <si>
    <t>GD-2026-0367</t>
  </si>
  <si>
    <t>GD-2026-0368</t>
  </si>
  <si>
    <t>GD-2026-0369</t>
  </si>
  <si>
    <t>GD-2026-0370</t>
  </si>
  <si>
    <t>GD-2026-0371</t>
  </si>
  <si>
    <t>GD-2026-0372</t>
  </si>
  <si>
    <t>GD-2026-0373</t>
  </si>
  <si>
    <t>GD-2026-0374</t>
  </si>
  <si>
    <t>GD-2026-0375</t>
  </si>
  <si>
    <t>GD-2026-0376</t>
  </si>
  <si>
    <t>GD-2026-0377</t>
  </si>
  <si>
    <t>GD-2026-0378</t>
  </si>
  <si>
    <t>GD-2026-0379</t>
  </si>
  <si>
    <t>GD-2026-0380</t>
  </si>
  <si>
    <t>GD-2026-0381</t>
  </si>
  <si>
    <t>GD-2026-0382</t>
  </si>
  <si>
    <t>GD-2026-0383</t>
  </si>
  <si>
    <t>GD-2026-0384</t>
  </si>
  <si>
    <t>GD-2026-0385</t>
  </si>
  <si>
    <t>GD-2026-0386</t>
  </si>
  <si>
    <t>GD-2026-0387</t>
  </si>
  <si>
    <t>GD-2026-0388</t>
  </si>
  <si>
    <t>GD-2026-0389</t>
  </si>
  <si>
    <t>GD-2026-0390</t>
  </si>
  <si>
    <t>GD-2026-0391</t>
  </si>
  <si>
    <t>GD-2026-0392</t>
  </si>
  <si>
    <t>GD-2026-0393</t>
  </si>
  <si>
    <t>GD-2026-0394</t>
  </si>
  <si>
    <t>GD-2026-0395</t>
  </si>
  <si>
    <t>GD-2026-0396</t>
  </si>
  <si>
    <t>GD-2026-0397</t>
  </si>
  <si>
    <t>GD-2026-0398</t>
  </si>
  <si>
    <t>GD-2026-0399</t>
  </si>
  <si>
    <t>Sun Grand Boulevard</t>
  </si>
  <si>
    <t>GD-2026-0400</t>
  </si>
  <si>
    <t>GD-2026-0401</t>
  </si>
  <si>
    <t>GD-2026-0402</t>
  </si>
  <si>
    <t>GD-2026-0403</t>
  </si>
  <si>
    <t>GD-2026-0404</t>
  </si>
  <si>
    <t>GD-2026-0405</t>
  </si>
  <si>
    <t>GD-2026-0406</t>
  </si>
  <si>
    <t>GD-2026-0407</t>
  </si>
  <si>
    <t>GD-2026-0408</t>
  </si>
  <si>
    <t>GD-2026-0409</t>
  </si>
  <si>
    <t>GD-2026-0410</t>
  </si>
  <si>
    <t>GD-2026-0411</t>
  </si>
  <si>
    <t>GD-2026-0412</t>
  </si>
  <si>
    <t>GD-2026-0413</t>
  </si>
  <si>
    <t>GD-2026-0414</t>
  </si>
  <si>
    <t>GD-2026-0415</t>
  </si>
  <si>
    <t>GD-2026-0416</t>
  </si>
  <si>
    <t>GD-2026-0417</t>
  </si>
  <si>
    <t>GD-2026-0418</t>
  </si>
  <si>
    <t>GD-2026-0419</t>
  </si>
  <si>
    <t>GD-2026-0420</t>
  </si>
  <si>
    <t>Nguyễn Văn An</t>
  </si>
  <si>
    <t>Sunshine Diamond Plaza</t>
  </si>
  <si>
    <t>Sun Premier Hạ Long</t>
  </si>
  <si>
    <t>Lavela Garden</t>
  </si>
  <si>
    <t>BÁO CÁO BÁN HÀNG BẤT ĐỘNG SẢN – NĂM 2026 (Tháng 1 → Tháng 7)</t>
  </si>
  <si>
    <t>Nguồn: sheet Data (bảng BanHang) – Đơn vị giá trị: triệu đồng (trđ)</t>
  </si>
  <si>
    <t>Tổng doanh thu ghi nhận (trđ)</t>
  </si>
  <si>
    <t>Số giao dịch</t>
  </si>
  <si>
    <t>Giá trị TB / giao dịch (trđ)</t>
  </si>
  <si>
    <t>Tỷ lệ huỷ cọc</t>
  </si>
  <si>
    <t>Tổng diện tích bán (m²)</t>
  </si>
  <si>
    <t>1. Doanh thu theo tháng</t>
  </si>
  <si>
    <t>Hạng mục</t>
  </si>
  <si>
    <t>Tháng 1</t>
  </si>
  <si>
    <t>Tháng 2</t>
  </si>
  <si>
    <t>Tháng 3</t>
  </si>
  <si>
    <t>Tháng 4</t>
  </si>
  <si>
    <t>Tháng 5</t>
  </si>
  <si>
    <t>Tháng 6</t>
  </si>
  <si>
    <t>Tháng 7</t>
  </si>
  <si>
    <t>2. Doanh thu theo kênh bán</t>
  </si>
  <si>
    <t>3. Doanh thu theo loại hình BĐS</t>
  </si>
  <si>
    <t>4. Doanh thu theo nhân viên sales</t>
  </si>
  <si>
    <t>5. Doanh thu theo khu vực</t>
  </si>
  <si>
    <t>BÁO CÁO KPI BÁN HÀNG BẤT ĐỘNG SẢN — 2026 (T1–T7)</t>
  </si>
  <si>
    <t>DỮ LIỆU TÍNH TOÁN (nguồn cho biểu đồ) — không xoá</t>
  </si>
  <si>
    <t>Doanh thu (trđ)</t>
  </si>
  <si>
    <t>+/- so với kỳ trước</t>
  </si>
  <si>
    <t>DOANH THU THÁNG 7 (trđ)</t>
  </si>
  <si>
    <t>SỐ GIAO DỊCH THÁNG 7</t>
  </si>
  <si>
    <t>GIÁ TRỊ TB / GIAO DỊCH T7 (trđ)</t>
  </si>
  <si>
    <t>DOANH THU LUỸ KẾ T1–T7 (trđ)</t>
  </si>
  <si>
    <t>Tổng 7 tháng</t>
  </si>
  <si>
    <t>TỶ LỆ HUỶ CỌC</t>
  </si>
  <si>
    <t>TỶ LỆ ĐÃ KÝ HĐMB</t>
  </si>
  <si>
    <t>KÊNH BÁN DẪN ĐẦU</t>
  </si>
  <si>
    <t>SALES DẪN ĐẦU</t>
  </si>
  <si>
    <t>KẾ HOẠCH DOANH THU NĂM 2026 THEO DỰ ÁN</t>
  </si>
  <si>
    <t>Ô màu xanh dương là số nhập tay — sửa trực tiếp tại đây, dashboard tự cập nhật. Đơn vị: triệu đồng (trđ).</t>
  </si>
  <si>
    <t>Kế hoạch 2026 (trđ)</t>
  </si>
  <si>
    <t>Tổng kế hoạch (trđ)</t>
  </si>
  <si>
    <t>Kế hoạch (trđ)</t>
  </si>
  <si>
    <t>% đạt KH</t>
  </si>
  <si>
    <t>Dự án (Top 8)</t>
  </si>
  <si>
    <t>Thực tế (trđ)</t>
  </si>
  <si>
    <t>Quy ước màu: ▲ xanh = tăng so với kỳ trước · ▼ đỏ = giảm · thẻ ngưỡng tự đổi xanh/đỏ theo mục tiêu · kế hoạch nhập tại sheet 'Kế hoạch' · dữ liệu tính toán ở cột V:AF.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</si>
</sst>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\ hh:mm"/>
    <numFmt numFmtId="165" formatCode="#,##0.0"/>
    <numFmt numFmtId="166" formatCode="#,##0;\(#,##0\);\-"/>
    <numFmt numFmtId="167" formatCode="0.0%"/>
    <numFmt numFmtId="168" formatCode="[Color10]\▲\ 0.0%;[Red]\▼\ 0.0%;[Color16]0.0%"/>
  </numFmts>
  <fonts count="2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6"/>
      <color rgb="FF1F3864"/>
      <name val="Arial"/>
      <family val="2"/>
      <scheme val="minor"/>
    </font>
    <font>
      <i/>
      <sz val="11"/>
      <color rgb="FF808080"/>
      <name val="Arial"/>
      <family val="2"/>
      <scheme val="minor"/>
    </font>
    <font>
      <b/>
      <sz val="11"/>
      <color rgb="FF1F3864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8"/>
      <color rgb="FFFFFFFF"/>
      <name val="Arial"/>
      <family val="2"/>
      <scheme val="minor"/>
    </font>
    <font>
      <b/>
      <sz val="11"/>
      <color rgb="FF808080"/>
      <name val="Arial"/>
      <family val="2"/>
      <scheme val="minor"/>
    </font>
    <font>
      <b/>
      <sz val="9"/>
      <color rgb="FFFFFFFF"/>
      <name val="Arial"/>
      <family val="2"/>
      <scheme val="minor"/>
    </font>
    <font>
      <b/>
      <sz val="22"/>
      <color rgb="FF2E75B6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22"/>
      <color rgb="FF2E9E8F"/>
      <name val="Arial"/>
      <family val="2"/>
      <scheme val="minor"/>
    </font>
    <font>
      <b/>
      <sz val="22"/>
      <color rgb="FF7C4DBE"/>
      <name val="Arial"/>
      <family val="2"/>
      <scheme val="minor"/>
    </font>
    <font>
      <b/>
      <sz val="22"/>
      <color rgb="FFE8710A"/>
      <name val="Arial"/>
      <family val="2"/>
      <scheme val="minor"/>
    </font>
    <font>
      <b/>
      <sz val="10"/>
      <color rgb="FF808080"/>
      <name val="Arial"/>
      <family val="2"/>
      <scheme val="minor"/>
    </font>
    <font>
      <b/>
      <sz val="22"/>
      <color rgb="FFFFFFFF"/>
      <name val="Arial"/>
      <family val="2"/>
      <scheme val="minor"/>
    </font>
    <font>
      <sz val="9"/>
      <color rgb="FF595959"/>
      <name val="Arial"/>
      <family val="2"/>
      <scheme val="minor"/>
    </font>
    <font>
      <b/>
      <sz val="14"/>
      <color rgb="FFFFFFFF"/>
      <name val="Arial"/>
      <family val="2"/>
      <scheme val="minor"/>
    </font>
    <font>
      <i/>
      <sz val="9"/>
      <color rgb="FF808080"/>
      <name val="Arial"/>
      <family val="2"/>
      <scheme val="minor"/>
    </font>
    <font>
      <b/>
      <sz val="14"/>
      <color rgb="FF1F3864"/>
      <name val="Arial"/>
      <family val="2"/>
      <scheme val="minor"/>
    </font>
    <font>
      <sz val="11"/>
      <color rgb="FF0000FF"/>
      <name val="Arial"/>
      <family val="2"/>
      <scheme val="minor"/>
    </font>
    <font>
      <b/>
      <sz val="11"/>
      <color rgb="FFC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2E9E8F"/>
        <bgColor indexed="64"/>
      </patternFill>
    </fill>
    <fill>
      <patternFill patternType="solid">
        <fgColor rgb="FF7C4DBE"/>
        <bgColor indexed="64"/>
      </patternFill>
    </fill>
    <fill>
      <patternFill patternType="solid">
        <fgColor rgb="FFE8710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0F6CBD"/>
        <bgColor indexed="64"/>
      </patternFill>
    </fill>
    <fill>
      <patternFill patternType="solid">
        <fgColor rgb="FF44546A"/>
        <bgColor indexed="64"/>
      </patternFill>
    </fill>
  </fills>
  <borders count="5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2E75B6"/>
      </top>
      <bottom/>
      <diagonal/>
    </border>
    <border>
      <left/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/>
      <diagonal/>
    </border>
    <border>
      <left style="thin">
        <color rgb="FF2E75B6"/>
      </left>
      <right/>
      <top/>
      <bottom/>
      <diagonal/>
    </border>
    <border>
      <left style="thin">
        <color rgb="FF2E75B6"/>
      </left>
      <right/>
      <top/>
      <bottom style="thin">
        <color rgb="FF2E75B6"/>
      </bottom>
      <diagonal/>
    </border>
    <border>
      <left/>
      <right style="thin">
        <color rgb="FF2E75B6"/>
      </right>
      <top style="thin">
        <color rgb="FF2E75B6"/>
      </top>
      <bottom/>
      <diagonal/>
    </border>
    <border>
      <left/>
      <right style="thin">
        <color rgb="FF2E75B6"/>
      </right>
      <top/>
      <bottom/>
      <diagonal/>
    </border>
    <border>
      <left/>
      <right style="thin">
        <color rgb="FF2E75B6"/>
      </right>
      <top/>
      <bottom style="thin">
        <color rgb="FF2E75B6"/>
      </bottom>
      <diagonal/>
    </border>
    <border>
      <left/>
      <right/>
      <top style="thin">
        <color rgb="FF2E9E8F"/>
      </top>
      <bottom/>
      <diagonal/>
    </border>
    <border>
      <left/>
      <right/>
      <top/>
      <bottom style="thin">
        <color rgb="FF2E9E8F"/>
      </bottom>
      <diagonal/>
    </border>
    <border>
      <left style="thin">
        <color rgb="FF2E9E8F"/>
      </left>
      <right/>
      <top style="thin">
        <color rgb="FF2E9E8F"/>
      </top>
      <bottom/>
      <diagonal/>
    </border>
    <border>
      <left style="thin">
        <color rgb="FF2E9E8F"/>
      </left>
      <right/>
      <top/>
      <bottom/>
      <diagonal/>
    </border>
    <border>
      <left style="thin">
        <color rgb="FF2E9E8F"/>
      </left>
      <right/>
      <top/>
      <bottom style="thin">
        <color rgb="FF2E9E8F"/>
      </bottom>
      <diagonal/>
    </border>
    <border>
      <left/>
      <right style="thin">
        <color rgb="FF2E9E8F"/>
      </right>
      <top style="thin">
        <color rgb="FF2E9E8F"/>
      </top>
      <bottom/>
      <diagonal/>
    </border>
    <border>
      <left/>
      <right style="thin">
        <color rgb="FF2E9E8F"/>
      </right>
      <top/>
      <bottom/>
      <diagonal/>
    </border>
    <border>
      <left/>
      <right style="thin">
        <color rgb="FF2E9E8F"/>
      </right>
      <top/>
      <bottom style="thin">
        <color rgb="FF2E9E8F"/>
      </bottom>
      <diagonal/>
    </border>
    <border>
      <left/>
      <right/>
      <top style="thin">
        <color rgb="FF7C4DBE"/>
      </top>
      <bottom/>
      <diagonal/>
    </border>
    <border>
      <left/>
      <right/>
      <top/>
      <bottom style="thin">
        <color rgb="FF7C4DBE"/>
      </bottom>
      <diagonal/>
    </border>
    <border>
      <left style="thin">
        <color rgb="FF7C4DBE"/>
      </left>
      <right/>
      <top style="thin">
        <color rgb="FF7C4DBE"/>
      </top>
      <bottom/>
      <diagonal/>
    </border>
    <border>
      <left style="thin">
        <color rgb="FF7C4DBE"/>
      </left>
      <right/>
      <top/>
      <bottom/>
      <diagonal/>
    </border>
    <border>
      <left style="thin">
        <color rgb="FF7C4DBE"/>
      </left>
      <right/>
      <top/>
      <bottom style="thin">
        <color rgb="FF7C4DBE"/>
      </bottom>
      <diagonal/>
    </border>
    <border>
      <left/>
      <right style="thin">
        <color rgb="FF7C4DBE"/>
      </right>
      <top style="thin">
        <color rgb="FF7C4DBE"/>
      </top>
      <bottom/>
      <diagonal/>
    </border>
    <border>
      <left/>
      <right style="thin">
        <color rgb="FF7C4DBE"/>
      </right>
      <top/>
      <bottom/>
      <diagonal/>
    </border>
    <border>
      <left/>
      <right style="thin">
        <color rgb="FF7C4DBE"/>
      </right>
      <top/>
      <bottom style="thin">
        <color rgb="FF7C4DBE"/>
      </bottom>
      <diagonal/>
    </border>
    <border>
      <left/>
      <right/>
      <top style="thin">
        <color rgb="FFE8710A"/>
      </top>
      <bottom/>
      <diagonal/>
    </border>
    <border>
      <left/>
      <right/>
      <top/>
      <bottom style="thin">
        <color rgb="FFE8710A"/>
      </bottom>
      <diagonal/>
    </border>
    <border>
      <left style="thin">
        <color rgb="FFE8710A"/>
      </left>
      <right/>
      <top style="thin">
        <color rgb="FFE8710A"/>
      </top>
      <bottom/>
      <diagonal/>
    </border>
    <border>
      <left style="thin">
        <color rgb="FFE8710A"/>
      </left>
      <right/>
      <top/>
      <bottom/>
      <diagonal/>
    </border>
    <border>
      <left style="thin">
        <color rgb="FFE8710A"/>
      </left>
      <right/>
      <top/>
      <bottom style="thin">
        <color rgb="FFE8710A"/>
      </bottom>
      <diagonal/>
    </border>
    <border>
      <left/>
      <right style="thin">
        <color rgb="FFE8710A"/>
      </right>
      <top style="thin">
        <color rgb="FFE8710A"/>
      </top>
      <bottom/>
      <diagonal/>
    </border>
    <border>
      <left/>
      <right style="thin">
        <color rgb="FFE8710A"/>
      </right>
      <top/>
      <bottom/>
      <diagonal/>
    </border>
    <border>
      <left/>
      <right style="thin">
        <color rgb="FFE8710A"/>
      </right>
      <top/>
      <bottom style="thin">
        <color rgb="FFE8710A"/>
      </bottom>
      <diagonal/>
    </border>
    <border>
      <left/>
      <right/>
      <top style="thin">
        <color rgb="FFB8860B"/>
      </top>
      <bottom/>
      <diagonal/>
    </border>
    <border>
      <left/>
      <right/>
      <top/>
      <bottom style="thin">
        <color rgb="FFB8860B"/>
      </bottom>
      <diagonal/>
    </border>
    <border>
      <left style="thin">
        <color rgb="FFB8860B"/>
      </left>
      <right/>
      <top style="thin">
        <color rgb="FFB8860B"/>
      </top>
      <bottom/>
      <diagonal/>
    </border>
    <border>
      <left style="thin">
        <color rgb="FFB8860B"/>
      </left>
      <right/>
      <top/>
      <bottom/>
      <diagonal/>
    </border>
    <border>
      <left style="thin">
        <color rgb="FFB8860B"/>
      </left>
      <right/>
      <top/>
      <bottom style="thin">
        <color rgb="FFB8860B"/>
      </bottom>
      <diagonal/>
    </border>
    <border>
      <left/>
      <right style="thin">
        <color rgb="FFB8860B"/>
      </right>
      <top style="thin">
        <color rgb="FFB8860B"/>
      </top>
      <bottom/>
      <diagonal/>
    </border>
    <border>
      <left/>
      <right style="thin">
        <color rgb="FFB8860B"/>
      </right>
      <top/>
      <bottom/>
      <diagonal/>
    </border>
    <border>
      <left/>
      <right style="thin">
        <color rgb="FFB8860B"/>
      </right>
      <top/>
      <bottom style="thin">
        <color rgb="FFB8860B"/>
      </bottom>
      <diagonal/>
    </border>
    <border>
      <left/>
      <right/>
      <top style="thin">
        <color rgb="FF0F6CBD"/>
      </top>
      <bottom/>
      <diagonal/>
    </border>
    <border>
      <left/>
      <right/>
      <top/>
      <bottom style="thin">
        <color rgb="FF0F6CBD"/>
      </bottom>
      <diagonal/>
    </border>
    <border>
      <left style="thin">
        <color rgb="FF0F6CBD"/>
      </left>
      <right/>
      <top style="thin">
        <color rgb="FF0F6CBD"/>
      </top>
      <bottom/>
      <diagonal/>
    </border>
    <border>
      <left style="thin">
        <color rgb="FF0F6CBD"/>
      </left>
      <right/>
      <top/>
      <bottom/>
      <diagonal/>
    </border>
    <border>
      <left style="thin">
        <color rgb="FF0F6CBD"/>
      </left>
      <right/>
      <top/>
      <bottom style="thin">
        <color rgb="FF0F6CBD"/>
      </bottom>
      <diagonal/>
    </border>
    <border>
      <left/>
      <right style="thin">
        <color rgb="FF0F6CBD"/>
      </right>
      <top style="thin">
        <color rgb="FF0F6CBD"/>
      </top>
      <bottom/>
      <diagonal/>
    </border>
    <border>
      <left/>
      <right style="thin">
        <color rgb="FF0F6CBD"/>
      </right>
      <top/>
      <bottom/>
      <diagonal/>
    </border>
    <border>
      <left/>
      <right style="thin">
        <color rgb="FF0F6CBD"/>
      </right>
      <top/>
      <bottom style="thin">
        <color rgb="FF0F6CBD"/>
      </bottom>
      <diagonal/>
    </border>
    <border>
      <left/>
      <right/>
      <top style="thin">
        <color rgb="FF44546A"/>
      </top>
      <bottom/>
      <diagonal/>
    </border>
    <border>
      <left/>
      <right/>
      <top/>
      <bottom style="thin">
        <color rgb="FF44546A"/>
      </bottom>
      <diagonal/>
    </border>
    <border>
      <left style="thin">
        <color rgb="FF44546A"/>
      </left>
      <right/>
      <top style="thin">
        <color rgb="FF44546A"/>
      </top>
      <bottom/>
      <diagonal/>
    </border>
    <border>
      <left style="thin">
        <color rgb="FF44546A"/>
      </left>
      <right/>
      <top/>
      <bottom/>
      <diagonal/>
    </border>
    <border>
      <left style="thin">
        <color rgb="FF44546A"/>
      </left>
      <right/>
      <top/>
      <bottom style="thin">
        <color rgb="FF44546A"/>
      </bottom>
      <diagonal/>
    </border>
    <border>
      <left/>
      <right style="thin">
        <color rgb="FF44546A"/>
      </right>
      <top style="thin">
        <color rgb="FF44546A"/>
      </top>
      <bottom/>
      <diagonal/>
    </border>
    <border>
      <left/>
      <right style="thin">
        <color rgb="FF44546A"/>
      </right>
      <top/>
      <bottom/>
      <diagonal/>
    </border>
    <border>
      <left/>
      <right style="thin">
        <color rgb="FF44546A"/>
      </right>
      <top/>
      <bottom style="thin">
        <color rgb="FF44546A"/>
      </bottom>
      <diagonal/>
    </border>
  </borders>
  <cellStyleXfs count="1">
    <xf numFmtId="0" fontId="0" fillId="0" borderId="0"/>
  </cellStyleXfs>
  <cellXfs count="9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166" fontId="4" fillId="0" borderId="0" xfId="0" applyNumberFormat="1" applyFont="1"/>
    <xf numFmtId="3" fontId="0" fillId="0" borderId="0" xfId="0" applyNumberFormat="1"/>
    <xf numFmtId="0" fontId="4" fillId="0" borderId="0" xfId="0" applyFont="1"/>
    <xf numFmtId="3" fontId="0" fillId="0" borderId="1" xfId="0" applyNumberFormat="1" applyBorder="1"/>
    <xf numFmtId="0" fontId="5" fillId="2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0" fontId="7" fillId="0" borderId="0" xfId="0" applyFont="1"/>
    <xf numFmtId="0" fontId="18" fillId="0" borderId="0" xfId="0" applyFont="1"/>
    <xf numFmtId="0" fontId="19" fillId="0" borderId="0" xfId="0" applyFont="1"/>
    <xf numFmtId="3" fontId="20" fillId="0" borderId="0" xfId="0" applyNumberFormat="1" applyFont="1"/>
    <xf numFmtId="3" fontId="1" fillId="0" borderId="0" xfId="0" applyNumberFormat="1" applyFont="1"/>
    <xf numFmtId="49" fontId="17" fillId="10" borderId="37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40" xfId="0" applyBorder="1"/>
    <xf numFmtId="0" fontId="0" fillId="0" borderId="37" xfId="0" applyBorder="1"/>
    <xf numFmtId="0" fontId="16" fillId="4" borderId="38" xfId="0" applyFont="1" applyFill="1" applyBorder="1" applyAlignment="1">
      <alignment horizontal="center" vertical="center"/>
    </xf>
    <xf numFmtId="0" fontId="0" fillId="0" borderId="35" xfId="0" applyBorder="1"/>
    <xf numFmtId="0" fontId="0" fillId="0" borderId="41" xfId="0" applyBorder="1"/>
    <xf numFmtId="0" fontId="8" fillId="11" borderId="44" xfId="0" applyFont="1" applyFill="1" applyBorder="1" applyAlignment="1">
      <alignment horizontal="center" vertical="center"/>
    </xf>
    <xf numFmtId="0" fontId="0" fillId="0" borderId="42" xfId="0" applyBorder="1"/>
    <xf numFmtId="0" fontId="0" fillId="0" borderId="47" xfId="0" applyBorder="1"/>
    <xf numFmtId="49" fontId="17" fillId="11" borderId="45" xfId="0" applyNumberFormat="1" applyFont="1" applyFill="1" applyBorder="1" applyAlignment="1">
      <alignment horizontal="center" vertical="center"/>
    </xf>
    <xf numFmtId="0" fontId="0" fillId="0" borderId="48" xfId="0" applyBorder="1"/>
    <xf numFmtId="0" fontId="0" fillId="0" borderId="45" xfId="0" applyBorder="1"/>
    <xf numFmtId="0" fontId="16" fillId="4" borderId="46" xfId="0" applyFont="1" applyFill="1" applyBorder="1" applyAlignment="1">
      <alignment horizontal="center" vertical="center"/>
    </xf>
    <xf numFmtId="0" fontId="0" fillId="0" borderId="43" xfId="0" applyBorder="1"/>
    <xf numFmtId="0" fontId="0" fillId="0" borderId="49" xfId="0" applyBorder="1"/>
    <xf numFmtId="0" fontId="21" fillId="0" borderId="0" xfId="0" applyFont="1" applyAlignment="1">
      <alignment horizontal="left" vertical="center"/>
    </xf>
    <xf numFmtId="0" fontId="8" fillId="7" borderId="28" xfId="0" applyFont="1" applyFill="1" applyBorder="1" applyAlignment="1">
      <alignment horizontal="center" vertical="center"/>
    </xf>
    <xf numFmtId="0" fontId="0" fillId="0" borderId="26" xfId="0" applyBorder="1"/>
    <xf numFmtId="0" fontId="0" fillId="0" borderId="31" xfId="0" applyBorder="1"/>
    <xf numFmtId="3" fontId="13" fillId="4" borderId="29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29" xfId="0" applyBorder="1"/>
    <xf numFmtId="0" fontId="14" fillId="4" borderId="30" xfId="0" applyFont="1" applyFill="1" applyBorder="1" applyAlignment="1">
      <alignment horizontal="center" vertical="center"/>
    </xf>
    <xf numFmtId="0" fontId="0" fillId="0" borderId="27" xfId="0" applyBorder="1"/>
    <xf numFmtId="0" fontId="0" fillId="0" borderId="33" xfId="0" applyBorder="1"/>
    <xf numFmtId="0" fontId="8" fillId="12" borderId="52" xfId="0" applyFont="1" applyFill="1" applyBorder="1" applyAlignment="1">
      <alignment horizontal="center" vertical="center"/>
    </xf>
    <xf numFmtId="0" fontId="0" fillId="0" borderId="50" xfId="0" applyBorder="1"/>
    <xf numFmtId="0" fontId="0" fillId="0" borderId="55" xfId="0" applyBorder="1"/>
    <xf numFmtId="167" fontId="15" fillId="8" borderId="53" xfId="0" applyNumberFormat="1" applyFont="1" applyFill="1" applyBorder="1" applyAlignment="1">
      <alignment horizontal="center" vertical="center"/>
    </xf>
    <xf numFmtId="0" fontId="0" fillId="0" borderId="56" xfId="0" applyBorder="1"/>
    <xf numFmtId="0" fontId="0" fillId="0" borderId="53" xfId="0" applyBorder="1"/>
    <xf numFmtId="0" fontId="16" fillId="4" borderId="54" xfId="0" applyFont="1" applyFill="1" applyBorder="1" applyAlignment="1">
      <alignment horizontal="center" vertical="center"/>
    </xf>
    <xf numFmtId="0" fontId="0" fillId="0" borderId="51" xfId="0" applyBorder="1"/>
    <xf numFmtId="0" fontId="0" fillId="0" borderId="57" xfId="0" applyBorder="1"/>
    <xf numFmtId="167" fontId="15" fillId="9" borderId="53" xfId="0" applyNumberFormat="1" applyFont="1" applyFill="1" applyBorder="1" applyAlignment="1">
      <alignment horizontal="center" vertical="center"/>
    </xf>
    <xf numFmtId="0" fontId="8" fillId="10" borderId="36" xfId="0" applyFont="1" applyFill="1" applyBorder="1" applyAlignment="1">
      <alignment horizontal="center" vertical="center"/>
    </xf>
    <xf numFmtId="0" fontId="0" fillId="0" borderId="34" xfId="0" applyBorder="1"/>
    <xf numFmtId="0" fontId="0" fillId="0" borderId="39" xfId="0" applyBorder="1"/>
    <xf numFmtId="0" fontId="6" fillId="3" borderId="0" xfId="0" applyFont="1" applyFill="1" applyAlignment="1">
      <alignment horizontal="left" vertical="center" indent="1"/>
    </xf>
    <xf numFmtId="0" fontId="8" fillId="2" borderId="4" xfId="0" applyFont="1" applyFill="1" applyBorder="1" applyAlignment="1">
      <alignment horizontal="center" vertical="center"/>
    </xf>
    <xf numFmtId="0" fontId="0" fillId="0" borderId="2" xfId="0" applyBorder="1"/>
    <xf numFmtId="0" fontId="0" fillId="0" borderId="7" xfId="0" applyBorder="1"/>
    <xf numFmtId="3" fontId="9" fillId="4" borderId="5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5" xfId="0" applyBorder="1"/>
    <xf numFmtId="168" fontId="10" fillId="4" borderId="6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9" xfId="0" applyBorder="1"/>
    <xf numFmtId="0" fontId="8" fillId="5" borderId="12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5" xfId="0" applyBorder="1"/>
    <xf numFmtId="3" fontId="11" fillId="4" borderId="13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13" xfId="0" applyBorder="1"/>
    <xf numFmtId="168" fontId="10" fillId="4" borderId="14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7" xfId="0" applyBorder="1"/>
    <xf numFmtId="0" fontId="8" fillId="6" borderId="20" xfId="0" applyFont="1" applyFill="1" applyBorder="1" applyAlignment="1">
      <alignment horizontal="center" vertical="center"/>
    </xf>
    <xf numFmtId="0" fontId="0" fillId="0" borderId="18" xfId="0" applyBorder="1"/>
    <xf numFmtId="0" fontId="0" fillId="0" borderId="23" xfId="0" applyBorder="1"/>
    <xf numFmtId="3" fontId="12" fillId="4" borderId="21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1" xfId="0" applyBorder="1"/>
    <xf numFmtId="168" fontId="10" fillId="4" borderId="22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5" xfId="0" applyBorder="1"/>
  </cellXfs>
  <cellStyles count="1">
    <cellStyle name="Normal" xfId="0" builtinId="0"/>
  </cellStyles>
  <dxfs count="13"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b/>
        <i val="0"/>
        <color rgb="FFFFFFFF"/>
      </font>
      <fill>
        <patternFill patternType="solid">
          <fgColor indexed="64"/>
          <bgColor rgb="FF2E7D32"/>
        </patternFill>
      </fill>
    </dxf>
    <dxf>
      <font>
        <b/>
        <i val="0"/>
        <color rgb="FFFFFFFF"/>
      </font>
      <fill>
        <patternFill patternType="solid">
          <fgColor indexed="64"/>
          <bgColor rgb="FFC00000"/>
        </patternFill>
      </fill>
    </dxf>
    <dxf>
      <font>
        <color rgb="FF0000FF"/>
      </font>
      <numFmt numFmtId="3" formatCode="#,##0"/>
    </dxf>
    <dxf>
      <numFmt numFmtId="166" formatCode="#,##0;\(#,##0\);\-"/>
    </dxf>
    <dxf>
      <numFmt numFmtId="167" formatCode="0.0%"/>
    </dxf>
    <dxf>
      <numFmt numFmtId="166" formatCode="#,##0;\(#,##0\);\-"/>
    </dxf>
    <dxf>
      <numFmt numFmtId="165" formatCode="#,##0.0"/>
    </dxf>
    <dxf>
      <numFmt numFmtId="165" formatCode="#,##0.0"/>
    </dxf>
    <dxf>
      <numFmt numFmtId="0" formatCode="General"/>
    </dxf>
    <dxf>
      <numFmt numFmtId="164" formatCode="dd/mm/yyyy\ hh:mm"/>
    </dxf>
    <dxf>
      <font>
        <b/>
      </font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Doanh thu ghi nhận theo tháng (trđ)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Dashboard!$C$11</c:f>
              <c:strCache>
                <c:ptCount val="1"/>
                <c:pt idx="0">
                  <c:v>Doanh thu ghi nhận (trđ)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Dashboard!$A$12:$A$18</c:f>
              <c:strCache>
                <c:ptCount val="7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  <c:pt idx="6">
                  <c:v>Tháng 7</c:v>
                </c:pt>
              </c:strCache>
            </c:strRef>
          </c:cat>
          <c:val>
            <c:numRef>
              <c:f>Dashboard!$C$12:$C$18</c:f>
              <c:numCache>
                <c:formatCode>#,##0;\(#,##0\);\-</c:formatCode>
                <c:ptCount val="7"/>
                <c:pt idx="0">
                  <c:v>459676.87810000003</c:v>
                </c:pt>
                <c:pt idx="1">
                  <c:v>385755.09380000009</c:v>
                </c:pt>
                <c:pt idx="2">
                  <c:v>539061.26049999997</c:v>
                </c:pt>
                <c:pt idx="3">
                  <c:v>617054.87339999992</c:v>
                </c:pt>
                <c:pt idx="4">
                  <c:v>528374.42389999994</c:v>
                </c:pt>
                <c:pt idx="5">
                  <c:v>668743.5713999999</c:v>
                </c:pt>
                <c:pt idx="6">
                  <c:v>806518.47140000004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C-4782-BAA1-0DBE67BC5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0918368"/>
        <c:axId val="969656271"/>
      </c:barChart>
      <c:catAx>
        <c:axId val="112091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69656271"/>
        <c:crosses val="autoZero"/>
        <c:auto val="1"/>
        <c:lblAlgn val="ctr"/>
        <c:lblOffset val="100"/>
        <c:noMultiLvlLbl val="0"/>
      </c:catAx>
      <c:valAx>
        <c:axId val="96965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12091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Số giao dịch theo tháng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Dashboard!$B$11</c:f>
              <c:strCache>
                <c:ptCount val="1"/>
                <c:pt idx="0">
                  <c:v>Số giao dịch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Dashboard!$A$12:$A$18</c:f>
              <c:strCache>
                <c:ptCount val="7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  <c:pt idx="6">
                  <c:v>Tháng 7</c:v>
                </c:pt>
              </c:strCache>
            </c:strRef>
          </c:cat>
          <c:val>
            <c:numRef>
              <c:f>Dashboard!$B$12:$B$18</c:f>
              <c:numCache>
                <c:formatCode>#,##0</c:formatCode>
                <c:ptCount val="7"/>
                <c:pt idx="0">
                  <c:v>38</c:v>
                </c:pt>
                <c:pt idx="1">
                  <c:v>34</c:v>
                </c:pt>
                <c:pt idx="2">
                  <c:v>43</c:v>
                </c:pt>
                <c:pt idx="3">
                  <c:v>68</c:v>
                </c:pt>
                <c:pt idx="4">
                  <c:v>60</c:v>
                </c:pt>
                <c:pt idx="5">
                  <c:v>75</c:v>
                </c:pt>
                <c:pt idx="6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77-4233-B89F-FE12C62D3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9279775"/>
        <c:axId val="969674511"/>
      </c:lineChart>
      <c:catAx>
        <c:axId val="115927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69674511"/>
        <c:crosses val="autoZero"/>
        <c:auto val="1"/>
        <c:lblAlgn val="ctr"/>
        <c:lblOffset val="100"/>
        <c:noMultiLvlLbl val="0"/>
      </c:catAx>
      <c:valAx>
        <c:axId val="96967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15927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Doanh thu theo kênh bán (trđ)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Dashboard!$C$22</c:f>
              <c:strCache>
                <c:ptCount val="1"/>
                <c:pt idx="0">
                  <c:v>Doanh thu ghi nhận (trđ)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Dashboard!$A$23:$A$27</c:f>
              <c:strCache>
                <c:ptCount val="5"/>
                <c:pt idx="0">
                  <c:v>Sàn nội bộ (F1)</c:v>
                </c:pt>
                <c:pt idx="1">
                  <c:v>Đại lý F2</c:v>
                </c:pt>
                <c:pt idx="2">
                  <c:v>Online / Digital</c:v>
                </c:pt>
                <c:pt idx="3">
                  <c:v>Khách giới thiệu</c:v>
                </c:pt>
                <c:pt idx="4">
                  <c:v>Sự kiện mở bán</c:v>
                </c:pt>
              </c:strCache>
            </c:strRef>
          </c:cat>
          <c:val>
            <c:numRef>
              <c:f>Dashboard!$C$23:$C$27</c:f>
              <c:numCache>
                <c:formatCode>#,##0;\(#,##0\);\-</c:formatCode>
                <c:ptCount val="5"/>
                <c:pt idx="0">
                  <c:v>1567604.9189999995</c:v>
                </c:pt>
                <c:pt idx="1">
                  <c:v>1025739.8643</c:v>
                </c:pt>
                <c:pt idx="2">
                  <c:v>611187.23300000024</c:v>
                </c:pt>
                <c:pt idx="3">
                  <c:v>522042.00439999992</c:v>
                </c:pt>
                <c:pt idx="4">
                  <c:v>278610.55180000002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80-4E56-B825-C3A563D60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8735855"/>
        <c:axId val="969685071"/>
      </c:barChart>
      <c:catAx>
        <c:axId val="11587358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69685071"/>
        <c:crosses val="autoZero"/>
        <c:auto val="1"/>
        <c:lblAlgn val="ctr"/>
        <c:lblOffset val="100"/>
        <c:noMultiLvlLbl val="0"/>
      </c:catAx>
      <c:valAx>
        <c:axId val="96968507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15873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Cơ cấu doanh thu theo loại hình BĐS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Dashboard!$C$31</c:f>
              <c:strCache>
                <c:ptCount val="1"/>
                <c:pt idx="0">
                  <c:v>Doanh thu ghi nhận (trđ)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2D-4748-83E5-49F19006F6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2D-4748-83E5-49F19006F6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2D-4748-83E5-49F19006F64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2D-4748-83E5-49F19006F64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A2D-4748-83E5-49F19006F64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A2D-4748-83E5-49F19006F6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Dashboard!$A$32:$A$37</c:f>
              <c:strCache>
                <c:ptCount val="6"/>
                <c:pt idx="0">
                  <c:v>Biệt thự</c:v>
                </c:pt>
                <c:pt idx="1">
                  <c:v>Shophouse</c:v>
                </c:pt>
                <c:pt idx="2">
                  <c:v>Căn hộ chung cư</c:v>
                </c:pt>
                <c:pt idx="3">
                  <c:v>Đất nền</c:v>
                </c:pt>
                <c:pt idx="4">
                  <c:v>Nhà phố / Liền kề</c:v>
                </c:pt>
                <c:pt idx="5">
                  <c:v>Condotel</c:v>
                </c:pt>
              </c:strCache>
            </c:strRef>
          </c:cat>
          <c:val>
            <c:numRef>
              <c:f>Dashboard!$C$32:$C$37</c:f>
              <c:numCache>
                <c:formatCode>#,##0;\(#,##0\);\-</c:formatCode>
                <c:ptCount val="6"/>
                <c:pt idx="0">
                  <c:v>1252565.6574999997</c:v>
                </c:pt>
                <c:pt idx="1">
                  <c:v>781003.10140000016</c:v>
                </c:pt>
                <c:pt idx="2">
                  <c:v>642256.16570000013</c:v>
                </c:pt>
                <c:pt idx="3">
                  <c:v>609389.52580000006</c:v>
                </c:pt>
                <c:pt idx="4">
                  <c:v>600549.53859999997</c:v>
                </c:pt>
                <c:pt idx="5">
                  <c:v>119420.58349999999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5-4E3C-A13A-10D5D9341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Doanh thu theo nhân viên sales (trđ)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Dashboard!$C$41</c:f>
              <c:strCache>
                <c:ptCount val="1"/>
                <c:pt idx="0">
                  <c:v>Doanh thu ghi nhận (trđ)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Dashboard!$A$42:$A$51</c:f>
              <c:strCache>
                <c:ptCount val="10"/>
                <c:pt idx="0">
                  <c:v>Nguyễn Văn An</c:v>
                </c:pt>
                <c:pt idx="1">
                  <c:v>Ngô Phương Oanh</c:v>
                </c:pt>
                <c:pt idx="2">
                  <c:v>Lê Minh Châu</c:v>
                </c:pt>
                <c:pt idx="3">
                  <c:v>Bùi Hải Nam</c:v>
                </c:pt>
                <c:pt idx="4">
                  <c:v>Vũ Đình Hùng</c:v>
                </c:pt>
                <c:pt idx="5">
                  <c:v>Trần Thị Bích</c:v>
                </c:pt>
                <c:pt idx="6">
                  <c:v>Hoàng Thị Giang</c:v>
                </c:pt>
                <c:pt idx="7">
                  <c:v>Phạm Quốc Dũng</c:v>
                </c:pt>
                <c:pt idx="8">
                  <c:v>Đặng Trung Kiên</c:v>
                </c:pt>
                <c:pt idx="9">
                  <c:v>Đỗ Thanh Lam</c:v>
                </c:pt>
              </c:strCache>
            </c:strRef>
          </c:cat>
          <c:val>
            <c:numRef>
              <c:f>Dashboard!$C$42:$C$51</c:f>
              <c:numCache>
                <c:formatCode>#,##0;\(#,##0\);\-</c:formatCode>
                <c:ptCount val="10"/>
                <c:pt idx="0">
                  <c:v>470298.946</c:v>
                </c:pt>
                <c:pt idx="1">
                  <c:v>453588.68180000008</c:v>
                </c:pt>
                <c:pt idx="2">
                  <c:v>432200.73429999995</c:v>
                </c:pt>
                <c:pt idx="3">
                  <c:v>421572.44589999993</c:v>
                </c:pt>
                <c:pt idx="4">
                  <c:v>415465.77609999996</c:v>
                </c:pt>
                <c:pt idx="5">
                  <c:v>411610.21509999997</c:v>
                </c:pt>
                <c:pt idx="6">
                  <c:v>385835.29019999999</c:v>
                </c:pt>
                <c:pt idx="7">
                  <c:v>384305.8923999999</c:v>
                </c:pt>
                <c:pt idx="8">
                  <c:v>380945.43770000001</c:v>
                </c:pt>
                <c:pt idx="9">
                  <c:v>249361.15300000005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4-43D4-948A-6CDA938CC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8691775"/>
        <c:axId val="969590511"/>
      </c:barChart>
      <c:catAx>
        <c:axId val="11586917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69590511"/>
        <c:crosses val="autoZero"/>
        <c:auto val="1"/>
        <c:lblAlgn val="ctr"/>
        <c:lblOffset val="100"/>
        <c:noMultiLvlLbl val="0"/>
      </c:catAx>
      <c:valAx>
        <c:axId val="9695905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15869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Doanh thu theo khu vực (trđ)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Dashboard!$C$55</c:f>
              <c:strCache>
                <c:ptCount val="1"/>
                <c:pt idx="0">
                  <c:v>Doanh thu ghi nhận (trđ)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Dashboard!$A$56:$A$61</c:f>
              <c:strCache>
                <c:ptCount val="6"/>
                <c:pt idx="0">
                  <c:v>Long An</c:v>
                </c:pt>
                <c:pt idx="1">
                  <c:v>Đồng Nai</c:v>
                </c:pt>
                <c:pt idx="2">
                  <c:v>Đà Nẵng</c:v>
                </c:pt>
                <c:pt idx="3">
                  <c:v>TP. Hồ Chí Minh</c:v>
                </c:pt>
                <c:pt idx="4">
                  <c:v>Bình Dương</c:v>
                </c:pt>
                <c:pt idx="5">
                  <c:v>Hà Nội</c:v>
                </c:pt>
              </c:strCache>
            </c:strRef>
          </c:cat>
          <c:val>
            <c:numRef>
              <c:f>Dashboard!$C$56:$C$61</c:f>
              <c:numCache>
                <c:formatCode>#,##0;\(#,##0\);\-</c:formatCode>
                <c:ptCount val="6"/>
                <c:pt idx="0">
                  <c:v>765666.96030000015</c:v>
                </c:pt>
                <c:pt idx="1">
                  <c:v>735877.32349999994</c:v>
                </c:pt>
                <c:pt idx="2">
                  <c:v>729926.46360000037</c:v>
                </c:pt>
                <c:pt idx="3">
                  <c:v>611400.02230000019</c:v>
                </c:pt>
                <c:pt idx="4">
                  <c:v>611316.51249999995</c:v>
                </c:pt>
                <c:pt idx="5">
                  <c:v>550997.29029999999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CF-4383-89B3-C83D143DC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4685983"/>
        <c:axId val="969584271"/>
      </c:barChart>
      <c:catAx>
        <c:axId val="96468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69584271"/>
        <c:crosses val="autoZero"/>
        <c:auto val="1"/>
        <c:lblAlgn val="ctr"/>
        <c:lblOffset val="100"/>
        <c:noMultiLvlLbl val="0"/>
      </c:catAx>
      <c:valAx>
        <c:axId val="96958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6468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Doanh thu ghi nhận theo tháng (trđ)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'KPI Dashboard'!$X$2</c:f>
              <c:strCache>
                <c:ptCount val="1"/>
                <c:pt idx="0">
                  <c:v>Doanh thu (trđ)</c:v>
                </c:pt>
              </c:strCache>
            </c:strRef>
          </c:tx>
          <c:spPr>
            <a:ln w="31750" cap="rnd">
              <a:solidFill>
                <a:srgbClr val="E8710A"/>
              </a:solidFill>
              <a:prstDash val="solid"/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Dashboard'!$V$3:$V$9</c:f>
              <c:strCache>
                <c:ptCount val="7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  <c:pt idx="6">
                  <c:v>Tháng 7</c:v>
                </c:pt>
              </c:strCache>
            </c:strRef>
          </c:cat>
          <c:val>
            <c:numRef>
              <c:f>'KPI Dashboard'!$X$3:$X$9</c:f>
              <c:numCache>
                <c:formatCode>#,##0</c:formatCode>
                <c:ptCount val="7"/>
                <c:pt idx="0">
                  <c:v>459676.87810000003</c:v>
                </c:pt>
                <c:pt idx="1">
                  <c:v>385755.09380000009</c:v>
                </c:pt>
                <c:pt idx="2">
                  <c:v>539061.26049999997</c:v>
                </c:pt>
                <c:pt idx="3">
                  <c:v>617054.87339999992</c:v>
                </c:pt>
                <c:pt idx="4">
                  <c:v>528374.42389999994</c:v>
                </c:pt>
                <c:pt idx="5">
                  <c:v>668743.5713999999</c:v>
                </c:pt>
                <c:pt idx="6">
                  <c:v>806518.47140000004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1E-47C5-9ABC-578C8AEEE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5812639"/>
        <c:axId val="969576111"/>
      </c:lineChart>
      <c:catAx>
        <c:axId val="116581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69576111"/>
        <c:crosses val="autoZero"/>
        <c:auto val="1"/>
        <c:lblAlgn val="ctr"/>
        <c:lblOffset val="100"/>
        <c:noMultiLvlLbl val="0"/>
      </c:catAx>
      <c:valAx>
        <c:axId val="96957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16581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Cơ cấu doanh thu theo kênh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'KPI Dashboard'!$X$12</c:f>
              <c:strCache>
                <c:ptCount val="1"/>
                <c:pt idx="0">
                  <c:v>Doanh thu (trđ)</c:v>
                </c:pt>
              </c:strCache>
            </c:strRef>
          </c:tx>
          <c:dPt>
            <c:idx val="0"/>
            <c:bubble3D val="0"/>
            <c:spPr>
              <a:solidFill>
                <a:srgbClr val="2E75B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D4F-4DC4-9FF2-7F07E9CB11A0}"/>
              </c:ext>
            </c:extLst>
          </c:dPt>
          <c:dPt>
            <c:idx val="1"/>
            <c:bubble3D val="0"/>
            <c:spPr>
              <a:solidFill>
                <a:srgbClr val="E8710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4F-4DC4-9FF2-7F07E9CB11A0}"/>
              </c:ext>
            </c:extLst>
          </c:dPt>
          <c:dPt>
            <c:idx val="2"/>
            <c:bubble3D val="0"/>
            <c:spPr>
              <a:solidFill>
                <a:srgbClr val="2E9E8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D4F-4DC4-9FF2-7F07E9CB11A0}"/>
              </c:ext>
            </c:extLst>
          </c:dPt>
          <c:dPt>
            <c:idx val="3"/>
            <c:bubble3D val="0"/>
            <c:spPr>
              <a:solidFill>
                <a:srgbClr val="7C4DB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4F-4DC4-9FF2-7F07E9CB11A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D4F-4DC4-9FF2-7F07E9CB11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 Dashboard'!$V$13:$V$17</c:f>
              <c:strCache>
                <c:ptCount val="5"/>
                <c:pt idx="0">
                  <c:v>Sàn nội bộ (F1)</c:v>
                </c:pt>
                <c:pt idx="1">
                  <c:v>Đại lý F2</c:v>
                </c:pt>
                <c:pt idx="2">
                  <c:v>Online / Digital</c:v>
                </c:pt>
                <c:pt idx="3">
                  <c:v>Khách giới thiệu</c:v>
                </c:pt>
                <c:pt idx="4">
                  <c:v>Sự kiện mở bán</c:v>
                </c:pt>
              </c:strCache>
            </c:strRef>
          </c:cat>
          <c:val>
            <c:numRef>
              <c:f>'KPI Dashboard'!$X$13:$X$17</c:f>
              <c:numCache>
                <c:formatCode>#,##0</c:formatCode>
                <c:ptCount val="5"/>
                <c:pt idx="0">
                  <c:v>1567604.9189999995</c:v>
                </c:pt>
                <c:pt idx="1">
                  <c:v>1025739.8643</c:v>
                </c:pt>
                <c:pt idx="2">
                  <c:v>611187.23300000024</c:v>
                </c:pt>
                <c:pt idx="3">
                  <c:v>522042.00439999992</c:v>
                </c:pt>
                <c:pt idx="4">
                  <c:v>278610.55180000002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4F-4DC4-9FF2-7F07E9CB1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8 dự án — Thực tế vs Kế hoạch (trđ) | xanh ≥100% KH · vàng 90–100% · đỏ &lt;90%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'KPI Dashboard'!$AD$29</c:f>
              <c:strCache>
                <c:ptCount val="1"/>
                <c:pt idx="0">
                  <c:v>Thực tế (trđ)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F8-4610-B05D-22CB73B96B32}"/>
              </c:ext>
            </c:extLst>
          </c:dPt>
          <c:dPt>
            <c:idx val="1"/>
            <c:invertIfNegative val="0"/>
            <c:bubble3D val="0"/>
            <c:spPr>
              <a:solidFill>
                <a:srgbClr val="2E7D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9F8-4610-B05D-22CB73B96B32}"/>
              </c:ext>
            </c:extLst>
          </c:dPt>
          <c:dPt>
            <c:idx val="2"/>
            <c:invertIfNegative val="0"/>
            <c:bubble3D val="0"/>
            <c:spPr>
              <a:solidFill>
                <a:srgbClr val="E8A31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9F8-4610-B05D-22CB73B96B32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9F8-4610-B05D-22CB73B96B32}"/>
              </c:ext>
            </c:extLst>
          </c:dPt>
          <c:dPt>
            <c:idx val="4"/>
            <c:invertIfNegative val="0"/>
            <c:bubble3D val="0"/>
            <c:spPr>
              <a:solidFill>
                <a:srgbClr val="2E7D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9F8-4610-B05D-22CB73B96B32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9F8-4610-B05D-22CB73B96B32}"/>
              </c:ext>
            </c:extLst>
          </c:dPt>
          <c:dPt>
            <c:idx val="6"/>
            <c:invertIfNegative val="0"/>
            <c:bubble3D val="0"/>
            <c:spPr>
              <a:solidFill>
                <a:srgbClr val="2E7D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9F8-4610-B05D-22CB73B96B32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9F8-4610-B05D-22CB73B96B32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Dashboard'!$AC$30:$AC$37</c:f>
              <c:strCache>
                <c:ptCount val="8"/>
                <c:pt idx="0">
                  <c:v>Ecopark Grand (84%)</c:v>
                </c:pt>
                <c:pt idx="1">
                  <c:v>Swan Bay Villas (110%)</c:v>
                </c:pt>
                <c:pt idx="2">
                  <c:v>Sun Grand Boulevard (96%)</c:v>
                </c:pt>
                <c:pt idx="3">
                  <c:v>Sunshine Diamond Plaza (85%)</c:v>
                </c:pt>
                <c:pt idx="4">
                  <c:v>Bien Hoa New City (103%)</c:v>
                </c:pt>
                <c:pt idx="5">
                  <c:v>Lavela Garden (82%)</c:v>
                </c:pt>
                <c:pt idx="6">
                  <c:v>The Manor Central (114%)</c:v>
                </c:pt>
                <c:pt idx="7">
                  <c:v>Vinhome Grand Park (79%)</c:v>
                </c:pt>
              </c:strCache>
            </c:strRef>
          </c:cat>
          <c:val>
            <c:numRef>
              <c:f>'KPI Dashboard'!$AD$30:$AD$37</c:f>
              <c:numCache>
                <c:formatCode>#,##0</c:formatCode>
                <c:ptCount val="8"/>
                <c:pt idx="0">
                  <c:v>758444.96909999987</c:v>
                </c:pt>
                <c:pt idx="1">
                  <c:v>494120.68840000004</c:v>
                </c:pt>
                <c:pt idx="2">
                  <c:v>482139.66820000001</c:v>
                </c:pt>
                <c:pt idx="3">
                  <c:v>298863.43319999997</c:v>
                </c:pt>
                <c:pt idx="4">
                  <c:v>257740.5419000001</c:v>
                </c:pt>
                <c:pt idx="5">
                  <c:v>246964.92009999996</c:v>
                </c:pt>
                <c:pt idx="6">
                  <c:v>228423.08189999999</c:v>
                </c:pt>
                <c:pt idx="7">
                  <c:v>198207.00229999999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F8-4610-B05D-22CB73B96B32}"/>
            </c:ext>
          </c:extLst>
        </c:ser>
        <c:ser>
          <c:idx val="0"/>
          <c:order val="1"/>
          <c:tx>
            <c:strRef>
              <c:f>'KPI Dashboard'!$AE$29</c:f>
              <c:strCache>
                <c:ptCount val="1"/>
                <c:pt idx="0">
                  <c:v>Kế hoạch (trđ)</c:v>
                </c:pt>
              </c:strCache>
            </c:strRef>
          </c:tx>
          <c:spPr>
            <a:solidFill>
              <a:srgbClr val="D9D9D9"/>
            </a:solidFill>
            <a:ln>
              <a:noFill/>
            </a:ln>
            <a:effectLst/>
          </c:spPr>
          <c:invertIfNegative val="0"/>
          <c:cat>
            <c:strRef>
              <c:f>'KPI Dashboard'!$AC$30:$AC$37</c:f>
              <c:strCache>
                <c:ptCount val="8"/>
                <c:pt idx="0">
                  <c:v>Ecopark Grand (84%)</c:v>
                </c:pt>
                <c:pt idx="1">
                  <c:v>Swan Bay Villas (110%)</c:v>
                </c:pt>
                <c:pt idx="2">
                  <c:v>Sun Grand Boulevard (96%)</c:v>
                </c:pt>
                <c:pt idx="3">
                  <c:v>Sunshine Diamond Plaza (85%)</c:v>
                </c:pt>
                <c:pt idx="4">
                  <c:v>Bien Hoa New City (103%)</c:v>
                </c:pt>
                <c:pt idx="5">
                  <c:v>Lavela Garden (82%)</c:v>
                </c:pt>
                <c:pt idx="6">
                  <c:v>The Manor Central (114%)</c:v>
                </c:pt>
                <c:pt idx="7">
                  <c:v>Vinhome Grand Park (79%)</c:v>
                </c:pt>
              </c:strCache>
            </c:strRef>
          </c:cat>
          <c:val>
            <c:numRef>
              <c:f>'KPI Dashboard'!$AE$30:$AE$37</c:f>
              <c:numCache>
                <c:formatCode>#,##0</c:formatCode>
                <c:ptCount val="8"/>
                <c:pt idx="0">
                  <c:v>900000</c:v>
                </c:pt>
                <c:pt idx="1">
                  <c:v>450000</c:v>
                </c:pt>
                <c:pt idx="2">
                  <c:v>500000</c:v>
                </c:pt>
                <c:pt idx="3">
                  <c:v>350000</c:v>
                </c:pt>
                <c:pt idx="4">
                  <c:v>250000</c:v>
                </c:pt>
                <c:pt idx="5">
                  <c:v>300000</c:v>
                </c:pt>
                <c:pt idx="6">
                  <c:v>200000</c:v>
                </c:pt>
                <c:pt idx="7">
                  <c:v>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F8-4610-B05D-22CB73B96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9680175"/>
        <c:axId val="969673071"/>
      </c:barChart>
      <c:catAx>
        <c:axId val="11596801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69673071"/>
        <c:crosses val="autoZero"/>
        <c:auto val="1"/>
        <c:lblAlgn val="ctr"/>
        <c:lblOffset val="100"/>
        <c:noMultiLvlLbl val="0"/>
      </c:catAx>
      <c:valAx>
        <c:axId val="96967307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15968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Doanh thu theo loại hình BĐS (trđ)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'KPI Dashboard'!$X$20</c:f>
              <c:strCache>
                <c:ptCount val="1"/>
                <c:pt idx="0">
                  <c:v>Doanh thu (trđ)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E75B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89C-450B-8B4F-5F0BA05A40FD}"/>
              </c:ext>
            </c:extLst>
          </c:dPt>
          <c:dPt>
            <c:idx val="1"/>
            <c:invertIfNegative val="0"/>
            <c:bubble3D val="0"/>
            <c:spPr>
              <a:solidFill>
                <a:srgbClr val="E8710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9C-450B-8B4F-5F0BA05A40FD}"/>
              </c:ext>
            </c:extLst>
          </c:dPt>
          <c:dPt>
            <c:idx val="2"/>
            <c:invertIfNegative val="0"/>
            <c:bubble3D val="0"/>
            <c:spPr>
              <a:solidFill>
                <a:srgbClr val="2E9E8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89C-450B-8B4F-5F0BA05A40FD}"/>
              </c:ext>
            </c:extLst>
          </c:dPt>
          <c:dPt>
            <c:idx val="3"/>
            <c:invertIfNegative val="0"/>
            <c:bubble3D val="0"/>
            <c:spPr>
              <a:solidFill>
                <a:srgbClr val="7C4DB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9C-450B-8B4F-5F0BA05A40FD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89C-450B-8B4F-5F0BA05A40FD}"/>
              </c:ext>
            </c:extLst>
          </c:dPt>
          <c:dPt>
            <c:idx val="5"/>
            <c:invertIfNegative val="0"/>
            <c:bubble3D val="0"/>
            <c:spPr>
              <a:solidFill>
                <a:srgbClr val="B8860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89C-450B-8B4F-5F0BA05A40FD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Dashboard'!$V$21:$V$26</c:f>
              <c:strCache>
                <c:ptCount val="6"/>
                <c:pt idx="0">
                  <c:v>Biệt thự</c:v>
                </c:pt>
                <c:pt idx="1">
                  <c:v>Shophouse</c:v>
                </c:pt>
                <c:pt idx="2">
                  <c:v>Căn hộ chung cư</c:v>
                </c:pt>
                <c:pt idx="3">
                  <c:v>Đất nền</c:v>
                </c:pt>
                <c:pt idx="4">
                  <c:v>Nhà phố / Liền kề</c:v>
                </c:pt>
                <c:pt idx="5">
                  <c:v>Condotel</c:v>
                </c:pt>
              </c:strCache>
            </c:strRef>
          </c:cat>
          <c:val>
            <c:numRef>
              <c:f>'KPI Dashboard'!$X$21:$X$26</c:f>
              <c:numCache>
                <c:formatCode>#,##0</c:formatCode>
                <c:ptCount val="6"/>
                <c:pt idx="0">
                  <c:v>1252565.6574999997</c:v>
                </c:pt>
                <c:pt idx="1">
                  <c:v>781003.10140000016</c:v>
                </c:pt>
                <c:pt idx="2">
                  <c:v>642256.16570000013</c:v>
                </c:pt>
                <c:pt idx="3">
                  <c:v>609389.52580000006</c:v>
                </c:pt>
                <c:pt idx="4">
                  <c:v>600549.53859999997</c:v>
                </c:pt>
                <c:pt idx="5">
                  <c:v>119420.58349999999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9C-450B-8B4F-5F0BA05A4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648159"/>
        <c:axId val="969672111"/>
      </c:barChart>
      <c:catAx>
        <c:axId val="115964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69672111"/>
        <c:crosses val="autoZero"/>
        <c:auto val="1"/>
        <c:lblAlgn val="ctr"/>
        <c:lblOffset val="100"/>
        <c:noMultiLvlLbl val="0"/>
      </c:catAx>
      <c:valAx>
        <c:axId val="96967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15964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Doanh thu theo nhân viên sales (trđ)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'KPI Dashboard'!$X$48</c:f>
              <c:strCache>
                <c:ptCount val="1"/>
                <c:pt idx="0">
                  <c:v>Doanh thu (trđ)</c:v>
                </c:pt>
              </c:strCache>
            </c:strRef>
          </c:tx>
          <c:spPr>
            <a:solidFill>
              <a:srgbClr val="2E9E8F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Dashboard'!$V$49:$V$58</c:f>
              <c:strCache>
                <c:ptCount val="10"/>
                <c:pt idx="0">
                  <c:v>Nguyễn Văn An</c:v>
                </c:pt>
                <c:pt idx="1">
                  <c:v>Ngô Phương Oanh</c:v>
                </c:pt>
                <c:pt idx="2">
                  <c:v>Lê Minh Châu</c:v>
                </c:pt>
                <c:pt idx="3">
                  <c:v>Bùi Hải Nam</c:v>
                </c:pt>
                <c:pt idx="4">
                  <c:v>Vũ Đình Hùng</c:v>
                </c:pt>
                <c:pt idx="5">
                  <c:v>Trần Thị Bích</c:v>
                </c:pt>
                <c:pt idx="6">
                  <c:v>Hoàng Thị Giang</c:v>
                </c:pt>
                <c:pt idx="7">
                  <c:v>Phạm Quốc Dũng</c:v>
                </c:pt>
                <c:pt idx="8">
                  <c:v>Đặng Trung Kiên</c:v>
                </c:pt>
                <c:pt idx="9">
                  <c:v>Đỗ Thanh Lam</c:v>
                </c:pt>
              </c:strCache>
            </c:strRef>
          </c:cat>
          <c:val>
            <c:numRef>
              <c:f>'KPI Dashboard'!$X$49:$X$58</c:f>
              <c:numCache>
                <c:formatCode>#,##0</c:formatCode>
                <c:ptCount val="10"/>
                <c:pt idx="0">
                  <c:v>470298.946</c:v>
                </c:pt>
                <c:pt idx="1">
                  <c:v>453588.68180000008</c:v>
                </c:pt>
                <c:pt idx="2">
                  <c:v>432200.73429999995</c:v>
                </c:pt>
                <c:pt idx="3">
                  <c:v>421572.44589999993</c:v>
                </c:pt>
                <c:pt idx="4">
                  <c:v>415465.77609999996</c:v>
                </c:pt>
                <c:pt idx="5">
                  <c:v>411610.21509999997</c:v>
                </c:pt>
                <c:pt idx="6">
                  <c:v>385835.29019999999</c:v>
                </c:pt>
                <c:pt idx="7">
                  <c:v>384305.8923999999</c:v>
                </c:pt>
                <c:pt idx="8">
                  <c:v>380945.43770000001</c:v>
                </c:pt>
                <c:pt idx="9">
                  <c:v>249361.15300000005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D5-4E4D-A003-60BA7A1F2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9666255"/>
        <c:axId val="969578991"/>
      </c:barChart>
      <c:catAx>
        <c:axId val="11596662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69578991"/>
        <c:crosses val="autoZero"/>
        <c:auto val="1"/>
        <c:lblAlgn val="ctr"/>
        <c:lblOffset val="100"/>
        <c:noMultiLvlLbl val="0"/>
      </c:catAx>
      <c:valAx>
        <c:axId val="96957899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15966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Cơ cấu doanh thu theo khu vực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doughnutChart>
        <c:varyColors val="1"/>
        <c:ser>
          <c:idx val="1"/>
          <c:order val="0"/>
          <c:tx>
            <c:strRef>
              <c:f>'KPI Dashboard'!$X$67</c:f>
              <c:strCache>
                <c:ptCount val="1"/>
                <c:pt idx="0">
                  <c:v>Doanh thu (trđ)</c:v>
                </c:pt>
              </c:strCache>
            </c:strRef>
          </c:tx>
          <c:dPt>
            <c:idx val="0"/>
            <c:bubble3D val="0"/>
            <c:spPr>
              <a:solidFill>
                <a:srgbClr val="2E75B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829-4ED0-BF42-870E8891B840}"/>
              </c:ext>
            </c:extLst>
          </c:dPt>
          <c:dPt>
            <c:idx val="1"/>
            <c:bubble3D val="0"/>
            <c:spPr>
              <a:solidFill>
                <a:srgbClr val="E8710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29-4ED0-BF42-870E8891B840}"/>
              </c:ext>
            </c:extLst>
          </c:dPt>
          <c:dPt>
            <c:idx val="2"/>
            <c:bubble3D val="0"/>
            <c:spPr>
              <a:solidFill>
                <a:srgbClr val="2E9E8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829-4ED0-BF42-870E8891B840}"/>
              </c:ext>
            </c:extLst>
          </c:dPt>
          <c:dPt>
            <c:idx val="3"/>
            <c:bubble3D val="0"/>
            <c:spPr>
              <a:solidFill>
                <a:srgbClr val="7C4DB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29-4ED0-BF42-870E8891B84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829-4ED0-BF42-870E8891B840}"/>
              </c:ext>
            </c:extLst>
          </c:dPt>
          <c:dPt>
            <c:idx val="5"/>
            <c:bubble3D val="0"/>
            <c:spPr>
              <a:solidFill>
                <a:srgbClr val="B8860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29-4ED0-BF42-870E8891B8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'KPI Dashboard'!$V$68:$V$73</c:f>
              <c:strCache>
                <c:ptCount val="6"/>
                <c:pt idx="0">
                  <c:v>Long An</c:v>
                </c:pt>
                <c:pt idx="1">
                  <c:v>Đồng Nai</c:v>
                </c:pt>
                <c:pt idx="2">
                  <c:v>Đà Nẵng</c:v>
                </c:pt>
                <c:pt idx="3">
                  <c:v>TP. Hồ Chí Minh</c:v>
                </c:pt>
                <c:pt idx="4">
                  <c:v>Bình Dương</c:v>
                </c:pt>
                <c:pt idx="5">
                  <c:v>Hà Nội</c:v>
                </c:pt>
              </c:strCache>
            </c:strRef>
          </c:cat>
          <c:val>
            <c:numRef>
              <c:f>'KPI Dashboard'!$X$68:$X$73</c:f>
              <c:numCache>
                <c:formatCode>#,##0</c:formatCode>
                <c:ptCount val="6"/>
                <c:pt idx="0">
                  <c:v>765666.96030000015</c:v>
                </c:pt>
                <c:pt idx="1">
                  <c:v>735877.32349999994</c:v>
                </c:pt>
                <c:pt idx="2">
                  <c:v>729926.46360000037</c:v>
                </c:pt>
                <c:pt idx="3">
                  <c:v>611400.02230000019</c:v>
                </c:pt>
                <c:pt idx="4">
                  <c:v>611316.51249999995</c:v>
                </c:pt>
                <c:pt idx="5">
                  <c:v>550997.29029999999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9-4ED0-BF42-870E8891B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127000</xdr:rowOff>
    </xdr:from>
    <xdr:to>
      <xdr:col>10</xdr:col>
      <xdr:colOff>520700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32370B-7553-4688-77E9-5F594594B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114300</xdr:colOff>
      <xdr:row>0</xdr:row>
      <xdr:rowOff>127000</xdr:rowOff>
    </xdr:from>
    <xdr:to>
      <xdr:col>18</xdr:col>
      <xdr:colOff>444500</xdr:colOff>
      <xdr:row>17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38499E-501C-8365-F385-05970378F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190500</xdr:colOff>
      <xdr:row>18</xdr:row>
      <xdr:rowOff>146050</xdr:rowOff>
    </xdr:from>
    <xdr:to>
      <xdr:col>10</xdr:col>
      <xdr:colOff>520700</xdr:colOff>
      <xdr:row>36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8BCE08-1D42-655A-73A3-F2918E037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114300</xdr:colOff>
      <xdr:row>18</xdr:row>
      <xdr:rowOff>146050</xdr:rowOff>
    </xdr:from>
    <xdr:to>
      <xdr:col>18</xdr:col>
      <xdr:colOff>444500</xdr:colOff>
      <xdr:row>36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3D58EC-FD2E-0E19-E904-8282A017C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190500</xdr:colOff>
      <xdr:row>37</xdr:row>
      <xdr:rowOff>69850</xdr:rowOff>
    </xdr:from>
    <xdr:to>
      <xdr:col>10</xdr:col>
      <xdr:colOff>520700</xdr:colOff>
      <xdr:row>58</xdr:row>
      <xdr:rowOff>146050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953594-2F4D-EB21-00BA-15264683B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114300</xdr:colOff>
      <xdr:row>37</xdr:row>
      <xdr:rowOff>69850</xdr:rowOff>
    </xdr:from>
    <xdr:to>
      <xdr:col>18</xdr:col>
      <xdr:colOff>444500</xdr:colOff>
      <xdr:row>58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126F474-A15A-FC69-0F58-E2F9F0D93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152400</xdr:rowOff>
    </xdr:from>
    <xdr:to>
      <xdr:col>12</xdr:col>
      <xdr:colOff>203200</xdr:colOff>
      <xdr:row>34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88A04F-F33F-80DA-B4D3-7A1F6171C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393700</xdr:colOff>
      <xdr:row>15</xdr:row>
      <xdr:rowOff>152400</xdr:rowOff>
    </xdr:from>
    <xdr:to>
      <xdr:col>20</xdr:col>
      <xdr:colOff>0</xdr:colOff>
      <xdr:row>34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8B97C3-4D2E-6035-7F74-31744373F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25400</xdr:rowOff>
    </xdr:from>
    <xdr:to>
      <xdr:col>10</xdr:col>
      <xdr:colOff>0</xdr:colOff>
      <xdr:row>58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9C93B3-382E-A22D-4920-584D241A1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190500</xdr:colOff>
      <xdr:row>35</xdr:row>
      <xdr:rowOff>25400</xdr:rowOff>
    </xdr:from>
    <xdr:to>
      <xdr:col>20</xdr:col>
      <xdr:colOff>0</xdr:colOff>
      <xdr:row>58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9B4F65-D3DA-DADD-87E2-D43064AD9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58</xdr:row>
      <xdr:rowOff>127000</xdr:rowOff>
    </xdr:from>
    <xdr:to>
      <xdr:col>10</xdr:col>
      <xdr:colOff>0</xdr:colOff>
      <xdr:row>82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40BE57-19DE-0D1F-0F76-FF35DEAD6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190500</xdr:colOff>
      <xdr:row>58</xdr:row>
      <xdr:rowOff>127000</xdr:rowOff>
    </xdr:from>
    <xdr:to>
      <xdr:col>20</xdr:col>
      <xdr:colOff>0</xdr:colOff>
      <xdr:row>82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B56027-1304-5FC5-FDEE-C5704992F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96B978-0EC9-4B8E-997E-9C0DEFCEB655}" name="BanHang" displayName="BanHang" ref="A1:N421" totalsRowShown="0" headerRowDxfId="12">
  <autoFilter ref="A1:N421" xr:uid="{5196B978-0EC9-4B8E-997E-9C0DEFCEB655}"/>
  <tableColumns count="14">
    <tableColumn id="1" xr3:uid="{0DCFB10D-B539-4F80-8BCD-8D9DC593BF34}" name="Mã giao dịch"/>
    <tableColumn id="2" xr3:uid="{A5FA5A5D-0B6D-47BA-B594-121E2B94FC63}" name="Ngày giờ bán" dataDxfId="11"/>
    <tableColumn id="3" xr3:uid="{81E33925-B43C-48EB-9132-678059577684}" name="Tháng" dataDxfId="10">
      <calculatedColumnFormula>"Tháng "&amp;MONTH(BanHang[[#This Row],[Ngày giờ bán]])</calculatedColumnFormula>
    </tableColumn>
    <tableColumn id="4" xr3:uid="{C9EAA28B-4258-4EC3-A424-F29895ACF339}" name="Dự án"/>
    <tableColumn id="5" xr3:uid="{29D985C1-F776-44AD-B0F7-459BDAC568DF}" name="Loại hình BĐS"/>
    <tableColumn id="6" xr3:uid="{15FF3FC0-524E-4A95-8570-41C34391E2DC}" name="Khu vực"/>
    <tableColumn id="7" xr3:uid="{AE194F4F-B568-47B1-B22F-8A5C5BEE2CAD}" name="Kênh bán"/>
    <tableColumn id="8" xr3:uid="{F53824EC-5106-4414-83A3-D6845BDAB4BE}" name="Nhân viên sales"/>
    <tableColumn id="9" xr3:uid="{298FA2B4-1311-4D6B-A0CF-CC322867D2F0}" name="Diện tích (m²)" dataDxfId="9"/>
    <tableColumn id="10" xr3:uid="{007482E7-6C03-4D85-AD00-E3991AFD220C}" name="Đơn giá (trđ/m²)" dataDxfId="8"/>
    <tableColumn id="11" xr3:uid="{1071E541-6292-46E1-AD96-022E1041E92D}" name="Giá trị hợp đồng (trđ)" dataDxfId="7">
      <calculatedColumnFormula>BanHang[[#This Row],[Diện tích (m²)]]*BanHang[[#This Row],[Đơn giá (trđ/m²)]]</calculatedColumnFormula>
    </tableColumn>
    <tableColumn id="12" xr3:uid="{0641939F-01D9-434C-AB3F-4F52D9A73D18}" name="Chiết khấu (%)" dataDxfId="6"/>
    <tableColumn id="13" xr3:uid="{10A90782-443C-4359-9E3B-C606318BCC0E}" name="Trạng thái"/>
    <tableColumn id="14" xr3:uid="{D8175642-A9A4-4013-ABB9-0DD5FB9953B0}" name="Doanh thu ghi nhận (trđ)" dataDxfId="5">
      <calculatedColumnFormula>IF(BanHang[[#This Row],[Trạng thái]]="Huỷ cọc",0,BanHang[[#This Row],[Giá trị hợp đồng (trđ)]]*(1-BanHang[[#This Row],[Chiết khấu (%)]]))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B8071D-B51D-406D-81F5-E3DC0ED97DF9}" name="KeHoach" displayName="KeHoach" ref="A4:B20" totalsRowShown="0">
  <autoFilter ref="A4:B20" xr:uid="{B9B8071D-B51D-406D-81F5-E3DC0ED97DF9}"/>
  <tableColumns count="2">
    <tableColumn id="1" xr3:uid="{256916C6-0953-474B-8B7A-E307BC2BD025}" name="Dự án"/>
    <tableColumn id="2" xr3:uid="{6C3D1C49-2808-45B7-8A96-2EC25EF0D849}" name="Kế hoạch 2026 (trđ)" dataDxfId="4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0EA169-9BD2-484F-8B6A-B4D2080397A3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c79d72f2-2d12-4d50-b6bf-d8a3a910732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BAED-C01C-46B7-9181-1B3AFA0B5C50}">
  <dimension ref="A1:N421"/>
  <sheetViews>
    <sheetView topLeftCell="H1" workbookViewId="0">
      <pane ySplit="1" topLeftCell="A33" activePane="bottomLeft" state="frozen"/>
      <selection pane="bottomLeft"/>
    </sheetView>
  </sheetViews>
  <sheetFormatPr defaultRowHeight="14" x14ac:dyDescent="0.3"/>
  <cols>
    <col min="1" max="1" width="15.5" bestFit="1" customWidth="1"/>
    <col min="2" max="2" width="16.25" style="1" bestFit="1" customWidth="1"/>
    <col min="3" max="3" width="10.4140625" bestFit="1" customWidth="1"/>
    <col min="4" max="4" width="22.75" customWidth="1"/>
    <col min="5" max="5" width="21.4140625" customWidth="1"/>
    <col min="6" max="6" width="23.1640625" customWidth="1"/>
    <col min="7" max="7" width="19.9140625" customWidth="1"/>
    <col min="8" max="8" width="18.5" bestFit="1" customWidth="1"/>
    <col min="9" max="9" width="16.25" style="2" bestFit="1" customWidth="1"/>
    <col min="10" max="10" width="18.4140625" style="2" bestFit="1" customWidth="1"/>
    <col min="11" max="11" width="22.9140625" style="3" bestFit="1" customWidth="1"/>
    <col min="12" max="12" width="17.25" style="4" bestFit="1" customWidth="1"/>
    <col min="13" max="13" width="13.58203125" bestFit="1" customWidth="1"/>
    <col min="14" max="14" width="25.83203125" style="3" bestFit="1" customWidth="1"/>
  </cols>
  <sheetData>
    <row r="1" spans="1:14" x14ac:dyDescent="0.3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8" t="s">
        <v>8</v>
      </c>
      <c r="J1" s="8" t="s">
        <v>9</v>
      </c>
      <c r="K1" s="9" t="s">
        <v>10</v>
      </c>
      <c r="L1" s="10" t="s">
        <v>11</v>
      </c>
      <c r="M1" s="6" t="s">
        <v>12</v>
      </c>
      <c r="N1" s="9" t="s">
        <v>13</v>
      </c>
    </row>
    <row r="2" spans="1:14" x14ac:dyDescent="0.3">
      <c r="A2" t="s">
        <v>14</v>
      </c>
      <c r="B2" s="1">
        <v>46024.354166666672</v>
      </c>
      <c r="C2" t="str">
        <f>"Tháng "&amp;MONTH(BanHang[[#This Row],[Ngày giờ bán]])</f>
        <v>Tháng 1</v>
      </c>
      <c r="D2" t="s">
        <v>76</v>
      </c>
      <c r="E2" t="s">
        <v>50</v>
      </c>
      <c r="F2" t="s">
        <v>77</v>
      </c>
      <c r="G2" t="s">
        <v>51</v>
      </c>
      <c r="H2" t="s">
        <v>476</v>
      </c>
      <c r="I2" s="2">
        <v>68.599999999999994</v>
      </c>
      <c r="J2" s="2">
        <v>57.2</v>
      </c>
      <c r="K2" s="3">
        <f>BanHang[[#This Row],[Diện tích (m²)]]*BanHang[[#This Row],[Đơn giá (trđ/m²)]]</f>
        <v>3923.92</v>
      </c>
      <c r="L2" s="4">
        <v>0</v>
      </c>
      <c r="M2" t="s">
        <v>27</v>
      </c>
      <c r="N2" s="3">
        <f>IF(BanHang[[#This Row],[Trạng thái]]="Huỷ cọc",0,BanHang[[#This Row],[Giá trị hợp đồng (trđ)]]*(1-BanHang[[#This Row],[Chiết khấu (%)]]))</f>
        <v>3923.92</v>
      </c>
    </row>
    <row r="3" spans="1:14" x14ac:dyDescent="0.3">
      <c r="A3" t="s">
        <v>21</v>
      </c>
      <c r="B3" s="1">
        <v>46024.416666666664</v>
      </c>
      <c r="C3" t="str">
        <f>"Tháng "&amp;MONTH(BanHang[[#This Row],[Ngày giờ bán]])</f>
        <v>Tháng 1</v>
      </c>
      <c r="D3" t="s">
        <v>225</v>
      </c>
      <c r="E3" t="s">
        <v>180</v>
      </c>
      <c r="F3" t="s">
        <v>17</v>
      </c>
      <c r="G3" t="s">
        <v>51</v>
      </c>
      <c r="H3" t="s">
        <v>406</v>
      </c>
      <c r="I3" s="2">
        <v>89.5</v>
      </c>
      <c r="J3" s="2">
        <v>59.3</v>
      </c>
      <c r="K3" s="3">
        <f>BanHang[[#This Row],[Diện tích (m²)]]*BanHang[[#This Row],[Đơn giá (trđ/m²)]]</f>
        <v>5307.3499999999995</v>
      </c>
      <c r="L3" s="4">
        <v>0.01</v>
      </c>
      <c r="M3" t="s">
        <v>27</v>
      </c>
      <c r="N3" s="3">
        <f>IF(BanHang[[#This Row],[Trạng thái]]="Huỷ cọc",0,BanHang[[#This Row],[Giá trị hợp đồng (trđ)]]*(1-BanHang[[#This Row],[Chiết khấu (%)]]))</f>
        <v>5254.276499999999</v>
      </c>
    </row>
    <row r="4" spans="1:14" x14ac:dyDescent="0.3">
      <c r="A4" t="s">
        <v>28</v>
      </c>
      <c r="B4" s="1">
        <v>46025.677083333328</v>
      </c>
      <c r="C4" t="str">
        <f>"Tháng "&amp;MONTH(BanHang[[#This Row],[Ngày giờ bán]])</f>
        <v>Tháng 1</v>
      </c>
      <c r="D4" t="s">
        <v>408</v>
      </c>
      <c r="E4" t="s">
        <v>180</v>
      </c>
      <c r="F4" t="s">
        <v>103</v>
      </c>
      <c r="G4" t="s">
        <v>51</v>
      </c>
      <c r="H4" t="s">
        <v>26</v>
      </c>
      <c r="I4" s="2">
        <v>167.5</v>
      </c>
      <c r="J4" s="2">
        <v>57.4</v>
      </c>
      <c r="K4" s="3">
        <f>BanHang[[#This Row],[Diện tích (m²)]]*BanHang[[#This Row],[Đơn giá (trđ/m²)]]</f>
        <v>9614.5</v>
      </c>
      <c r="L4" s="4">
        <v>0.08</v>
      </c>
      <c r="M4" t="s">
        <v>27</v>
      </c>
      <c r="N4" s="3">
        <f>IF(BanHang[[#This Row],[Trạng thái]]="Huỷ cọc",0,BanHang[[#This Row],[Giá trị hợp đồng (trđ)]]*(1-BanHang[[#This Row],[Chiết khấu (%)]]))</f>
        <v>8845.34</v>
      </c>
    </row>
    <row r="5" spans="1:14" x14ac:dyDescent="0.3">
      <c r="A5" t="s">
        <v>29</v>
      </c>
      <c r="B5" s="1">
        <v>46028.729166666672</v>
      </c>
      <c r="C5" t="str">
        <f>"Tháng "&amp;MONTH(BanHang[[#This Row],[Ngày giờ bán]])</f>
        <v>Tháng 1</v>
      </c>
      <c r="D5" t="s">
        <v>225</v>
      </c>
      <c r="E5" t="s">
        <v>180</v>
      </c>
      <c r="F5" t="s">
        <v>77</v>
      </c>
      <c r="G5" t="s">
        <v>78</v>
      </c>
      <c r="H5" t="s">
        <v>406</v>
      </c>
      <c r="I5" s="2">
        <v>167.9</v>
      </c>
      <c r="J5" s="2">
        <v>45.8</v>
      </c>
      <c r="K5" s="3">
        <f>BanHang[[#This Row],[Diện tích (m²)]]*BanHang[[#This Row],[Đơn giá (trđ/m²)]]</f>
        <v>7689.82</v>
      </c>
      <c r="L5" s="4">
        <v>0.01</v>
      </c>
      <c r="M5" t="s">
        <v>20</v>
      </c>
      <c r="N5" s="3">
        <f>IF(BanHang[[#This Row],[Trạng thái]]="Huỷ cọc",0,BanHang[[#This Row],[Giá trị hợp đồng (trđ)]]*(1-BanHang[[#This Row],[Chiết khấu (%)]]))</f>
        <v>0</v>
      </c>
    </row>
    <row r="6" spans="1:14" x14ac:dyDescent="0.3">
      <c r="A6" t="s">
        <v>30</v>
      </c>
      <c r="B6" s="1">
        <v>46029.65625</v>
      </c>
      <c r="C6" t="str">
        <f>"Tháng "&amp;MONTH(BanHang[[#This Row],[Ngày giờ bán]])</f>
        <v>Tháng 1</v>
      </c>
      <c r="D6" t="s">
        <v>225</v>
      </c>
      <c r="E6" t="s">
        <v>180</v>
      </c>
      <c r="F6" t="s">
        <v>77</v>
      </c>
      <c r="G6" t="s">
        <v>51</v>
      </c>
      <c r="H6" t="s">
        <v>26</v>
      </c>
      <c r="I6" s="2">
        <v>162.9</v>
      </c>
      <c r="J6" s="2">
        <v>45.9</v>
      </c>
      <c r="K6" s="3">
        <f>BanHang[[#This Row],[Diện tích (m²)]]*BanHang[[#This Row],[Đơn giá (trđ/m²)]]</f>
        <v>7477.11</v>
      </c>
      <c r="L6" s="4">
        <v>0.02</v>
      </c>
      <c r="M6" t="s">
        <v>53</v>
      </c>
      <c r="N6" s="3">
        <f>IF(BanHang[[#This Row],[Trạng thái]]="Huỷ cọc",0,BanHang[[#This Row],[Giá trị hợp đồng (trđ)]]*(1-BanHang[[#This Row],[Chiết khấu (%)]]))</f>
        <v>7327.5677999999998</v>
      </c>
    </row>
    <row r="7" spans="1:14" x14ac:dyDescent="0.3">
      <c r="A7" t="s">
        <v>31</v>
      </c>
      <c r="B7" s="1">
        <v>46029.791666666664</v>
      </c>
      <c r="C7" t="str">
        <f>"Tháng "&amp;MONTH(BanHang[[#This Row],[Ngày giờ bán]])</f>
        <v>Tháng 1</v>
      </c>
      <c r="D7" t="s">
        <v>15</v>
      </c>
      <c r="E7" t="s">
        <v>16</v>
      </c>
      <c r="F7" t="s">
        <v>17</v>
      </c>
      <c r="G7" t="s">
        <v>78</v>
      </c>
      <c r="H7" t="s">
        <v>134</v>
      </c>
      <c r="I7" s="2">
        <v>231.6</v>
      </c>
      <c r="J7" s="2">
        <v>144.6</v>
      </c>
      <c r="K7" s="3">
        <f>BanHang[[#This Row],[Diện tích (m²)]]*BanHang[[#This Row],[Đơn giá (trđ/m²)]]</f>
        <v>33489.360000000001</v>
      </c>
      <c r="L7" s="4">
        <v>0.08</v>
      </c>
      <c r="M7" t="s">
        <v>53</v>
      </c>
      <c r="N7" s="3">
        <f>IF(BanHang[[#This Row],[Trạng thái]]="Huỷ cọc",0,BanHang[[#This Row],[Giá trị hợp đồng (trđ)]]*(1-BanHang[[#This Row],[Chiết khấu (%)]]))</f>
        <v>30810.211200000002</v>
      </c>
    </row>
    <row r="8" spans="1:14" x14ac:dyDescent="0.3">
      <c r="A8" t="s">
        <v>32</v>
      </c>
      <c r="B8" s="1">
        <v>46030.458333333336</v>
      </c>
      <c r="C8" t="str">
        <f>"Tháng "&amp;MONTH(BanHang[[#This Row],[Ngày giờ bán]])</f>
        <v>Tháng 1</v>
      </c>
      <c r="D8" t="s">
        <v>76</v>
      </c>
      <c r="E8" t="s">
        <v>50</v>
      </c>
      <c r="F8" t="s">
        <v>77</v>
      </c>
      <c r="G8" t="s">
        <v>18</v>
      </c>
      <c r="H8" t="s">
        <v>134</v>
      </c>
      <c r="I8" s="2">
        <v>59.5</v>
      </c>
      <c r="J8" s="2">
        <v>61.6</v>
      </c>
      <c r="K8" s="3">
        <f>BanHang[[#This Row],[Diện tích (m²)]]*BanHang[[#This Row],[Đơn giá (trđ/m²)]]</f>
        <v>3665.2000000000003</v>
      </c>
      <c r="L8" s="4">
        <v>7.0000000000000007E-2</v>
      </c>
      <c r="M8" t="s">
        <v>27</v>
      </c>
      <c r="N8" s="3">
        <f>IF(BanHang[[#This Row],[Trạng thái]]="Huỷ cọc",0,BanHang[[#This Row],[Giá trị hợp đồng (trđ)]]*(1-BanHang[[#This Row],[Chiết khấu (%)]]))</f>
        <v>3408.636</v>
      </c>
    </row>
    <row r="9" spans="1:14" x14ac:dyDescent="0.3">
      <c r="A9" t="s">
        <v>33</v>
      </c>
      <c r="B9" s="1">
        <v>46030.46875</v>
      </c>
      <c r="C9" t="str">
        <f>"Tháng "&amp;MONTH(BanHang[[#This Row],[Ngày giờ bán]])</f>
        <v>Tháng 1</v>
      </c>
      <c r="D9" t="s">
        <v>111</v>
      </c>
      <c r="E9" t="s">
        <v>50</v>
      </c>
      <c r="F9" t="s">
        <v>156</v>
      </c>
      <c r="G9" t="s">
        <v>108</v>
      </c>
      <c r="H9" t="s">
        <v>19</v>
      </c>
      <c r="I9" s="2">
        <v>66.8</v>
      </c>
      <c r="J9" s="2">
        <v>77</v>
      </c>
      <c r="K9" s="3">
        <f>BanHang[[#This Row],[Diện tích (m²)]]*BanHang[[#This Row],[Đơn giá (trđ/m²)]]</f>
        <v>5143.5999999999995</v>
      </c>
      <c r="L9" s="4">
        <v>0.03</v>
      </c>
      <c r="M9" t="s">
        <v>53</v>
      </c>
      <c r="N9" s="3">
        <f>IF(BanHang[[#This Row],[Trạng thái]]="Huỷ cọc",0,BanHang[[#This Row],[Giá trị hợp đồng (trđ)]]*(1-BanHang[[#This Row],[Chiết khấu (%)]]))</f>
        <v>4989.2919999999995</v>
      </c>
    </row>
    <row r="10" spans="1:14" x14ac:dyDescent="0.3">
      <c r="A10" t="s">
        <v>34</v>
      </c>
      <c r="B10" s="1">
        <v>46030.645833333336</v>
      </c>
      <c r="C10" t="str">
        <f>"Tháng "&amp;MONTH(BanHang[[#This Row],[Ngày giờ bán]])</f>
        <v>Tháng 1</v>
      </c>
      <c r="D10" t="s">
        <v>111</v>
      </c>
      <c r="E10" t="s">
        <v>50</v>
      </c>
      <c r="F10" t="s">
        <v>77</v>
      </c>
      <c r="G10" t="s">
        <v>108</v>
      </c>
      <c r="H10" t="s">
        <v>52</v>
      </c>
      <c r="I10" s="2">
        <v>86.2</v>
      </c>
      <c r="J10" s="2">
        <v>76.8</v>
      </c>
      <c r="K10" s="3">
        <f>BanHang[[#This Row],[Diện tích (m²)]]*BanHang[[#This Row],[Đơn giá (trđ/m²)]]</f>
        <v>6620.16</v>
      </c>
      <c r="L10" s="4">
        <v>0.03</v>
      </c>
      <c r="M10" t="s">
        <v>27</v>
      </c>
      <c r="N10" s="3">
        <f>IF(BanHang[[#This Row],[Trạng thái]]="Huỷ cọc",0,BanHang[[#This Row],[Giá trị hợp đồng (trđ)]]*(1-BanHang[[#This Row],[Chiết khấu (%)]]))</f>
        <v>6421.5551999999998</v>
      </c>
    </row>
    <row r="11" spans="1:14" x14ac:dyDescent="0.3">
      <c r="A11" t="s">
        <v>35</v>
      </c>
      <c r="B11" s="1">
        <v>46031.416666666664</v>
      </c>
      <c r="C11" t="str">
        <f>"Tháng "&amp;MONTH(BanHang[[#This Row],[Ngày giờ bán]])</f>
        <v>Tháng 1</v>
      </c>
      <c r="D11" t="s">
        <v>408</v>
      </c>
      <c r="E11" t="s">
        <v>180</v>
      </c>
      <c r="F11" t="s">
        <v>107</v>
      </c>
      <c r="G11" t="s">
        <v>108</v>
      </c>
      <c r="H11" t="s">
        <v>476</v>
      </c>
      <c r="I11" s="2">
        <v>104.1</v>
      </c>
      <c r="J11" s="2">
        <v>28.4</v>
      </c>
      <c r="K11" s="3">
        <f>BanHang[[#This Row],[Diện tích (m²)]]*BanHang[[#This Row],[Đơn giá (trđ/m²)]]</f>
        <v>2956.4399999999996</v>
      </c>
      <c r="L11" s="4">
        <v>0</v>
      </c>
      <c r="M11" t="s">
        <v>27</v>
      </c>
      <c r="N11" s="3">
        <f>IF(BanHang[[#This Row],[Trạng thái]]="Huỷ cọc",0,BanHang[[#This Row],[Giá trị hợp đồng (trđ)]]*(1-BanHang[[#This Row],[Chiết khấu (%)]]))</f>
        <v>2956.4399999999996</v>
      </c>
    </row>
    <row r="12" spans="1:14" x14ac:dyDescent="0.3">
      <c r="A12" t="s">
        <v>36</v>
      </c>
      <c r="B12" s="1">
        <v>46031.802083333328</v>
      </c>
      <c r="C12" t="str">
        <f>"Tháng "&amp;MONTH(BanHang[[#This Row],[Ngày giờ bán]])</f>
        <v>Tháng 1</v>
      </c>
      <c r="D12" t="s">
        <v>408</v>
      </c>
      <c r="E12" t="s">
        <v>180</v>
      </c>
      <c r="F12" t="s">
        <v>17</v>
      </c>
      <c r="G12" t="s">
        <v>108</v>
      </c>
      <c r="H12" t="s">
        <v>52</v>
      </c>
      <c r="I12" s="2">
        <v>193.6</v>
      </c>
      <c r="J12" s="2">
        <v>33.200000000000003</v>
      </c>
      <c r="K12" s="3">
        <f>BanHang[[#This Row],[Diện tích (m²)]]*BanHang[[#This Row],[Đơn giá (trđ/m²)]]</f>
        <v>6427.52</v>
      </c>
      <c r="L12" s="4">
        <v>7.0000000000000007E-2</v>
      </c>
      <c r="M12" t="s">
        <v>27</v>
      </c>
      <c r="N12" s="3">
        <f>IF(BanHang[[#This Row],[Trạng thái]]="Huỷ cọc",0,BanHang[[#This Row],[Giá trị hợp đồng (trđ)]]*(1-BanHang[[#This Row],[Chiết khấu (%)]]))</f>
        <v>5977.5936000000002</v>
      </c>
    </row>
    <row r="13" spans="1:14" x14ac:dyDescent="0.3">
      <c r="A13" t="s">
        <v>37</v>
      </c>
      <c r="B13" s="1">
        <v>46033.395833333336</v>
      </c>
      <c r="C13" t="str">
        <f>"Tháng "&amp;MONTH(BanHang[[#This Row],[Ngày giờ bán]])</f>
        <v>Tháng 1</v>
      </c>
      <c r="D13" t="s">
        <v>454</v>
      </c>
      <c r="E13" t="s">
        <v>106</v>
      </c>
      <c r="F13" t="s">
        <v>103</v>
      </c>
      <c r="G13" t="s">
        <v>78</v>
      </c>
      <c r="H13" t="s">
        <v>79</v>
      </c>
      <c r="I13" s="2">
        <v>148.30000000000001</v>
      </c>
      <c r="J13" s="2">
        <v>174.7</v>
      </c>
      <c r="K13" s="3">
        <f>BanHang[[#This Row],[Diện tích (m²)]]*BanHang[[#This Row],[Đơn giá (trđ/m²)]]</f>
        <v>25908.010000000002</v>
      </c>
      <c r="L13" s="4">
        <v>0.05</v>
      </c>
      <c r="M13" t="s">
        <v>53</v>
      </c>
      <c r="N13" s="3">
        <f>IF(BanHang[[#This Row],[Trạng thái]]="Huỷ cọc",0,BanHang[[#This Row],[Giá trị hợp đồng (trđ)]]*(1-BanHang[[#This Row],[Chiết khấu (%)]]))</f>
        <v>24612.609500000002</v>
      </c>
    </row>
    <row r="14" spans="1:14" x14ac:dyDescent="0.3">
      <c r="A14" t="s">
        <v>38</v>
      </c>
      <c r="B14" s="1">
        <v>46033.510416666664</v>
      </c>
      <c r="C14" t="str">
        <f>"Tháng "&amp;MONTH(BanHang[[#This Row],[Ngày giờ bán]])</f>
        <v>Tháng 1</v>
      </c>
      <c r="D14" t="s">
        <v>454</v>
      </c>
      <c r="E14" t="s">
        <v>106</v>
      </c>
      <c r="F14" t="s">
        <v>107</v>
      </c>
      <c r="G14" t="s">
        <v>18</v>
      </c>
      <c r="H14" t="s">
        <v>476</v>
      </c>
      <c r="I14" s="2">
        <v>142.19999999999999</v>
      </c>
      <c r="J14" s="2">
        <v>112.4</v>
      </c>
      <c r="K14" s="3">
        <f>BanHang[[#This Row],[Diện tích (m²)]]*BanHang[[#This Row],[Đơn giá (trđ/m²)]]</f>
        <v>15983.279999999999</v>
      </c>
      <c r="L14" s="4">
        <v>0.03</v>
      </c>
      <c r="M14" t="s">
        <v>53</v>
      </c>
      <c r="N14" s="3">
        <f>IF(BanHang[[#This Row],[Trạng thái]]="Huỷ cọc",0,BanHang[[#This Row],[Giá trị hợp đồng (trđ)]]*(1-BanHang[[#This Row],[Chiết khấu (%)]]))</f>
        <v>15503.781599999998</v>
      </c>
    </row>
    <row r="15" spans="1:14" x14ac:dyDescent="0.3">
      <c r="A15" t="s">
        <v>39</v>
      </c>
      <c r="B15" s="1">
        <v>46034.395833333336</v>
      </c>
      <c r="C15" t="str">
        <f>"Tháng "&amp;MONTH(BanHang[[#This Row],[Ngày giờ bán]])</f>
        <v>Tháng 1</v>
      </c>
      <c r="D15" t="s">
        <v>15</v>
      </c>
      <c r="E15" t="s">
        <v>16</v>
      </c>
      <c r="F15" t="s">
        <v>156</v>
      </c>
      <c r="G15" t="s">
        <v>51</v>
      </c>
      <c r="H15" t="s">
        <v>19</v>
      </c>
      <c r="I15" s="2">
        <v>368.9</v>
      </c>
      <c r="J15" s="2">
        <v>160.19999999999999</v>
      </c>
      <c r="K15" s="3">
        <f>BanHang[[#This Row],[Diện tích (m²)]]*BanHang[[#This Row],[Đơn giá (trđ/m²)]]</f>
        <v>59097.779999999992</v>
      </c>
      <c r="L15" s="4">
        <v>0.01</v>
      </c>
      <c r="M15" t="s">
        <v>53</v>
      </c>
      <c r="N15" s="3">
        <f>IF(BanHang[[#This Row],[Trạng thái]]="Huỷ cọc",0,BanHang[[#This Row],[Giá trị hợp đồng (trđ)]]*(1-BanHang[[#This Row],[Chiết khấu (%)]]))</f>
        <v>58506.802199999991</v>
      </c>
    </row>
    <row r="16" spans="1:14" x14ac:dyDescent="0.3">
      <c r="A16" t="s">
        <v>40</v>
      </c>
      <c r="B16" s="1">
        <v>46034.520833333336</v>
      </c>
      <c r="C16" t="str">
        <f>"Tháng "&amp;MONTH(BanHang[[#This Row],[Ngày giờ bán]])</f>
        <v>Tháng 1</v>
      </c>
      <c r="D16" t="s">
        <v>408</v>
      </c>
      <c r="E16" t="s">
        <v>180</v>
      </c>
      <c r="F16" t="s">
        <v>24</v>
      </c>
      <c r="G16" t="s">
        <v>25</v>
      </c>
      <c r="H16" t="s">
        <v>19</v>
      </c>
      <c r="I16" s="2">
        <v>205.1</v>
      </c>
      <c r="J16" s="2">
        <v>42.8</v>
      </c>
      <c r="K16" s="3">
        <f>BanHang[[#This Row],[Diện tích (m²)]]*BanHang[[#This Row],[Đơn giá (trđ/m²)]]</f>
        <v>8778.2799999999988</v>
      </c>
      <c r="L16" s="4">
        <v>0.05</v>
      </c>
      <c r="M16" t="s">
        <v>53</v>
      </c>
      <c r="N16" s="3">
        <f>IF(BanHang[[#This Row],[Trạng thái]]="Huỷ cọc",0,BanHang[[#This Row],[Giá trị hợp đồng (trđ)]]*(1-BanHang[[#This Row],[Chiết khấu (%)]]))</f>
        <v>8339.3659999999982</v>
      </c>
    </row>
    <row r="17" spans="1:14" x14ac:dyDescent="0.3">
      <c r="A17" t="s">
        <v>41</v>
      </c>
      <c r="B17" s="1">
        <v>46035.4375</v>
      </c>
      <c r="C17" t="str">
        <f>"Tháng "&amp;MONTH(BanHang[[#This Row],[Ngày giờ bán]])</f>
        <v>Tháng 1</v>
      </c>
      <c r="D17" t="s">
        <v>249</v>
      </c>
      <c r="E17" t="s">
        <v>16</v>
      </c>
      <c r="F17" t="s">
        <v>77</v>
      </c>
      <c r="G17" t="s">
        <v>18</v>
      </c>
      <c r="H17" t="s">
        <v>52</v>
      </c>
      <c r="I17" s="2">
        <v>368.6</v>
      </c>
      <c r="J17" s="2">
        <v>143.19999999999999</v>
      </c>
      <c r="K17" s="3">
        <f>BanHang[[#This Row],[Diện tích (m²)]]*BanHang[[#This Row],[Đơn giá (trđ/m²)]]</f>
        <v>52783.519999999997</v>
      </c>
      <c r="L17" s="4">
        <v>0.08</v>
      </c>
      <c r="M17" t="s">
        <v>53</v>
      </c>
      <c r="N17" s="3">
        <f>IF(BanHang[[#This Row],[Trạng thái]]="Huỷ cọc",0,BanHang[[#This Row],[Giá trị hợp đồng (trđ)]]*(1-BanHang[[#This Row],[Chiết khấu (%)]]))</f>
        <v>48560.838400000001</v>
      </c>
    </row>
    <row r="18" spans="1:14" x14ac:dyDescent="0.3">
      <c r="A18" t="s">
        <v>42</v>
      </c>
      <c r="B18" s="1">
        <v>46035.572916666664</v>
      </c>
      <c r="C18" t="str">
        <f>"Tháng "&amp;MONTH(BanHang[[#This Row],[Ngày giờ bán]])</f>
        <v>Tháng 1</v>
      </c>
      <c r="D18" t="s">
        <v>383</v>
      </c>
      <c r="E18" t="s">
        <v>384</v>
      </c>
      <c r="F18" t="s">
        <v>156</v>
      </c>
      <c r="G18" t="s">
        <v>108</v>
      </c>
      <c r="H18" t="s">
        <v>109</v>
      </c>
      <c r="I18" s="2">
        <v>70.599999999999994</v>
      </c>
      <c r="J18" s="2">
        <v>67.400000000000006</v>
      </c>
      <c r="K18" s="3">
        <f>BanHang[[#This Row],[Diện tích (m²)]]*BanHang[[#This Row],[Đơn giá (trđ/m²)]]</f>
        <v>4758.4399999999996</v>
      </c>
      <c r="L18" s="4">
        <v>0</v>
      </c>
      <c r="M18" t="s">
        <v>53</v>
      </c>
      <c r="N18" s="3">
        <f>IF(BanHang[[#This Row],[Trạng thái]]="Huỷ cọc",0,BanHang[[#This Row],[Giá trị hợp đồng (trđ)]]*(1-BanHang[[#This Row],[Chiết khấu (%)]]))</f>
        <v>4758.4399999999996</v>
      </c>
    </row>
    <row r="19" spans="1:14" x14ac:dyDescent="0.3">
      <c r="A19" t="s">
        <v>43</v>
      </c>
      <c r="B19" s="1">
        <v>46035.770833333336</v>
      </c>
      <c r="C19" t="str">
        <f>"Tháng "&amp;MONTH(BanHang[[#This Row],[Ngày giờ bán]])</f>
        <v>Tháng 1</v>
      </c>
      <c r="D19" t="s">
        <v>408</v>
      </c>
      <c r="E19" t="s">
        <v>180</v>
      </c>
      <c r="F19" t="s">
        <v>24</v>
      </c>
      <c r="G19" t="s">
        <v>25</v>
      </c>
      <c r="H19" t="s">
        <v>52</v>
      </c>
      <c r="I19" s="2">
        <v>203.3</v>
      </c>
      <c r="J19" s="2">
        <v>41.1</v>
      </c>
      <c r="K19" s="3">
        <f>BanHang[[#This Row],[Diện tích (m²)]]*BanHang[[#This Row],[Đơn giá (trđ/m²)]]</f>
        <v>8355.630000000001</v>
      </c>
      <c r="L19" s="4">
        <v>0</v>
      </c>
      <c r="M19" t="s">
        <v>53</v>
      </c>
      <c r="N19" s="3">
        <f>IF(BanHang[[#This Row],[Trạng thái]]="Huỷ cọc",0,BanHang[[#This Row],[Giá trị hợp đồng (trđ)]]*(1-BanHang[[#This Row],[Chiết khấu (%)]]))</f>
        <v>8355.630000000001</v>
      </c>
    </row>
    <row r="20" spans="1:14" x14ac:dyDescent="0.3">
      <c r="A20" t="s">
        <v>44</v>
      </c>
      <c r="B20" s="1">
        <v>46036.333333333336</v>
      </c>
      <c r="C20" t="str">
        <f>"Tháng "&amp;MONTH(BanHang[[#This Row],[Ngày giờ bán]])</f>
        <v>Tháng 1</v>
      </c>
      <c r="D20" t="s">
        <v>477</v>
      </c>
      <c r="E20" t="s">
        <v>106</v>
      </c>
      <c r="F20" t="s">
        <v>107</v>
      </c>
      <c r="G20" t="s">
        <v>51</v>
      </c>
      <c r="H20" t="s">
        <v>52</v>
      </c>
      <c r="I20" s="2">
        <v>130.9</v>
      </c>
      <c r="J20" s="2">
        <v>148.1</v>
      </c>
      <c r="K20" s="3">
        <f>BanHang[[#This Row],[Diện tích (m²)]]*BanHang[[#This Row],[Đơn giá (trđ/m²)]]</f>
        <v>19386.29</v>
      </c>
      <c r="L20" s="4">
        <v>0</v>
      </c>
      <c r="M20" t="s">
        <v>27</v>
      </c>
      <c r="N20" s="3">
        <f>IF(BanHang[[#This Row],[Trạng thái]]="Huỷ cọc",0,BanHang[[#This Row],[Giá trị hợp đồng (trđ)]]*(1-BanHang[[#This Row],[Chiết khấu (%)]]))</f>
        <v>19386.29</v>
      </c>
    </row>
    <row r="21" spans="1:14" x14ac:dyDescent="0.3">
      <c r="A21" t="s">
        <v>45</v>
      </c>
      <c r="B21" s="1">
        <v>46037.635416666664</v>
      </c>
      <c r="C21" t="str">
        <f>"Tháng "&amp;MONTH(BanHang[[#This Row],[Ngày giờ bán]])</f>
        <v>Tháng 1</v>
      </c>
      <c r="D21" t="s">
        <v>111</v>
      </c>
      <c r="E21" t="s">
        <v>50</v>
      </c>
      <c r="F21" t="s">
        <v>77</v>
      </c>
      <c r="G21" t="s">
        <v>51</v>
      </c>
      <c r="H21" t="s">
        <v>109</v>
      </c>
      <c r="I21" s="2">
        <v>80.3</v>
      </c>
      <c r="J21" s="2">
        <v>70.5</v>
      </c>
      <c r="K21" s="3">
        <f>BanHang[[#This Row],[Diện tích (m²)]]*BanHang[[#This Row],[Đơn giá (trđ/m²)]]</f>
        <v>5661.15</v>
      </c>
      <c r="L21" s="4">
        <v>0</v>
      </c>
      <c r="M21" t="s">
        <v>20</v>
      </c>
      <c r="N21" s="3">
        <f>IF(BanHang[[#This Row],[Trạng thái]]="Huỷ cọc",0,BanHang[[#This Row],[Giá trị hợp đồng (trđ)]]*(1-BanHang[[#This Row],[Chiết khấu (%)]]))</f>
        <v>0</v>
      </c>
    </row>
    <row r="22" spans="1:14" x14ac:dyDescent="0.3">
      <c r="A22" t="s">
        <v>46</v>
      </c>
      <c r="B22" s="1">
        <v>46038.708333333336</v>
      </c>
      <c r="C22" t="str">
        <f>"Tháng "&amp;MONTH(BanHang[[#This Row],[Ngày giờ bán]])</f>
        <v>Tháng 1</v>
      </c>
      <c r="D22" t="s">
        <v>101</v>
      </c>
      <c r="E22" t="s">
        <v>50</v>
      </c>
      <c r="F22" t="s">
        <v>17</v>
      </c>
      <c r="G22" t="s">
        <v>78</v>
      </c>
      <c r="H22" t="s">
        <v>157</v>
      </c>
      <c r="I22" s="2">
        <v>72.599999999999994</v>
      </c>
      <c r="J22" s="2">
        <v>59.9</v>
      </c>
      <c r="K22" s="3">
        <f>BanHang[[#This Row],[Diện tích (m²)]]*BanHang[[#This Row],[Đơn giá (trđ/m²)]]</f>
        <v>4348.74</v>
      </c>
      <c r="L22" s="4">
        <v>0.03</v>
      </c>
      <c r="M22" t="s">
        <v>27</v>
      </c>
      <c r="N22" s="3">
        <f>IF(BanHang[[#This Row],[Trạng thái]]="Huỷ cọc",0,BanHang[[#This Row],[Giá trị hợp đồng (trđ)]]*(1-BanHang[[#This Row],[Chiết khấu (%)]]))</f>
        <v>4218.2777999999998</v>
      </c>
    </row>
    <row r="23" spans="1:14" x14ac:dyDescent="0.3">
      <c r="A23" t="s">
        <v>47</v>
      </c>
      <c r="B23" s="1">
        <v>46040.53125</v>
      </c>
      <c r="C23" t="str">
        <f>"Tháng "&amp;MONTH(BanHang[[#This Row],[Ngày giờ bán]])</f>
        <v>Tháng 1</v>
      </c>
      <c r="D23" t="s">
        <v>225</v>
      </c>
      <c r="E23" t="s">
        <v>180</v>
      </c>
      <c r="F23" t="s">
        <v>17</v>
      </c>
      <c r="G23" t="s">
        <v>51</v>
      </c>
      <c r="H23" t="s">
        <v>406</v>
      </c>
      <c r="I23" s="2">
        <v>215.1</v>
      </c>
      <c r="J23" s="2">
        <v>58.5</v>
      </c>
      <c r="K23" s="3">
        <f>BanHang[[#This Row],[Diện tích (m²)]]*BanHang[[#This Row],[Đơn giá (trđ/m²)]]</f>
        <v>12583.35</v>
      </c>
      <c r="L23" s="4">
        <v>0.08</v>
      </c>
      <c r="M23" t="s">
        <v>53</v>
      </c>
      <c r="N23" s="3">
        <f>IF(BanHang[[#This Row],[Trạng thái]]="Huỷ cọc",0,BanHang[[#This Row],[Giá trị hợp đồng (trđ)]]*(1-BanHang[[#This Row],[Chiết khấu (%)]]))</f>
        <v>11576.682000000001</v>
      </c>
    </row>
    <row r="24" spans="1:14" x14ac:dyDescent="0.3">
      <c r="A24" t="s">
        <v>48</v>
      </c>
      <c r="B24" s="1">
        <v>46041.583333333336</v>
      </c>
      <c r="C24" t="str">
        <f>"Tháng "&amp;MONTH(BanHang[[#This Row],[Ngày giờ bán]])</f>
        <v>Tháng 1</v>
      </c>
      <c r="D24" t="s">
        <v>15</v>
      </c>
      <c r="E24" t="s">
        <v>16</v>
      </c>
      <c r="F24" t="s">
        <v>107</v>
      </c>
      <c r="G24" t="s">
        <v>51</v>
      </c>
      <c r="H24" t="s">
        <v>157</v>
      </c>
      <c r="I24" s="2">
        <v>296.7</v>
      </c>
      <c r="J24" s="2">
        <v>137</v>
      </c>
      <c r="K24" s="3">
        <f>BanHang[[#This Row],[Diện tích (m²)]]*BanHang[[#This Row],[Đơn giá (trđ/m²)]]</f>
        <v>40647.9</v>
      </c>
      <c r="L24" s="4">
        <v>0.03</v>
      </c>
      <c r="M24" t="s">
        <v>27</v>
      </c>
      <c r="N24" s="3">
        <f>IF(BanHang[[#This Row],[Trạng thái]]="Huỷ cọc",0,BanHang[[#This Row],[Giá trị hợp đồng (trđ)]]*(1-BanHang[[#This Row],[Chiết khấu (%)]]))</f>
        <v>39428.463000000003</v>
      </c>
    </row>
    <row r="25" spans="1:14" x14ac:dyDescent="0.3">
      <c r="A25" t="s">
        <v>54</v>
      </c>
      <c r="B25" s="1">
        <v>46043.75</v>
      </c>
      <c r="C25" t="str">
        <f>"Tháng "&amp;MONTH(BanHang[[#This Row],[Ngày giờ bán]])</f>
        <v>Tháng 1</v>
      </c>
      <c r="D25" t="s">
        <v>383</v>
      </c>
      <c r="E25" t="s">
        <v>384</v>
      </c>
      <c r="F25" t="s">
        <v>107</v>
      </c>
      <c r="G25" t="s">
        <v>108</v>
      </c>
      <c r="H25" t="s">
        <v>79</v>
      </c>
      <c r="I25" s="2">
        <v>53.3</v>
      </c>
      <c r="J25" s="2">
        <v>69.400000000000006</v>
      </c>
      <c r="K25" s="3">
        <f>BanHang[[#This Row],[Diện tích (m²)]]*BanHang[[#This Row],[Đơn giá (trđ/m²)]]</f>
        <v>3699.02</v>
      </c>
      <c r="L25" s="4">
        <v>0.05</v>
      </c>
      <c r="M25" t="s">
        <v>53</v>
      </c>
      <c r="N25" s="3">
        <f>IF(BanHang[[#This Row],[Trạng thái]]="Huỷ cọc",0,BanHang[[#This Row],[Giá trị hợp đồng (trđ)]]*(1-BanHang[[#This Row],[Chiết khấu (%)]]))</f>
        <v>3514.069</v>
      </c>
    </row>
    <row r="26" spans="1:14" x14ac:dyDescent="0.3">
      <c r="A26" t="s">
        <v>55</v>
      </c>
      <c r="B26" s="1">
        <v>46044.635416666664</v>
      </c>
      <c r="C26" t="str">
        <f>"Tháng "&amp;MONTH(BanHang[[#This Row],[Ngày giờ bán]])</f>
        <v>Tháng 1</v>
      </c>
      <c r="D26" t="s">
        <v>408</v>
      </c>
      <c r="E26" t="s">
        <v>180</v>
      </c>
      <c r="F26" t="s">
        <v>107</v>
      </c>
      <c r="G26" t="s">
        <v>108</v>
      </c>
      <c r="H26" t="s">
        <v>109</v>
      </c>
      <c r="I26" s="2">
        <v>154.80000000000001</v>
      </c>
      <c r="J26" s="2">
        <v>24.4</v>
      </c>
      <c r="K26" s="3">
        <f>BanHang[[#This Row],[Diện tích (m²)]]*BanHang[[#This Row],[Đơn giá (trđ/m²)]]</f>
        <v>3777.12</v>
      </c>
      <c r="L26" s="4">
        <v>0.08</v>
      </c>
      <c r="M26" t="s">
        <v>27</v>
      </c>
      <c r="N26" s="3">
        <f>IF(BanHang[[#This Row],[Trạng thái]]="Huỷ cọc",0,BanHang[[#This Row],[Giá trị hợp đồng (trđ)]]*(1-BanHang[[#This Row],[Chiết khấu (%)]]))</f>
        <v>3474.9504000000002</v>
      </c>
    </row>
    <row r="27" spans="1:14" x14ac:dyDescent="0.3">
      <c r="A27" t="s">
        <v>56</v>
      </c>
      <c r="B27" s="1">
        <v>46044.6875</v>
      </c>
      <c r="C27" t="str">
        <f>"Tháng "&amp;MONTH(BanHang[[#This Row],[Ngày giờ bán]])</f>
        <v>Tháng 1</v>
      </c>
      <c r="D27" t="s">
        <v>478</v>
      </c>
      <c r="E27" t="s">
        <v>384</v>
      </c>
      <c r="F27" t="s">
        <v>107</v>
      </c>
      <c r="G27" t="s">
        <v>51</v>
      </c>
      <c r="H27" t="s">
        <v>26</v>
      </c>
      <c r="I27" s="2">
        <v>57.9</v>
      </c>
      <c r="J27" s="2">
        <v>71.3</v>
      </c>
      <c r="K27" s="3">
        <f>BanHang[[#This Row],[Diện tích (m²)]]*BanHang[[#This Row],[Đơn giá (trđ/m²)]]</f>
        <v>4128.2699999999995</v>
      </c>
      <c r="L27" s="4">
        <v>0.05</v>
      </c>
      <c r="M27" t="s">
        <v>53</v>
      </c>
      <c r="N27" s="3">
        <f>IF(BanHang[[#This Row],[Trạng thái]]="Huỷ cọc",0,BanHang[[#This Row],[Giá trị hợp đồng (trđ)]]*(1-BanHang[[#This Row],[Chiết khấu (%)]]))</f>
        <v>3921.8564999999994</v>
      </c>
    </row>
    <row r="28" spans="1:14" x14ac:dyDescent="0.3">
      <c r="A28" t="s">
        <v>57</v>
      </c>
      <c r="B28" s="1">
        <v>46045.416666666664</v>
      </c>
      <c r="C28" t="str">
        <f>"Tháng "&amp;MONTH(BanHang[[#This Row],[Ngày giờ bán]])</f>
        <v>Tháng 1</v>
      </c>
      <c r="D28" t="s">
        <v>249</v>
      </c>
      <c r="E28" t="s">
        <v>16</v>
      </c>
      <c r="F28" t="s">
        <v>103</v>
      </c>
      <c r="G28" t="s">
        <v>108</v>
      </c>
      <c r="H28" t="s">
        <v>26</v>
      </c>
      <c r="I28" s="2">
        <v>380.6</v>
      </c>
      <c r="J28" s="2">
        <v>114.6</v>
      </c>
      <c r="K28" s="3">
        <f>BanHang[[#This Row],[Diện tích (m²)]]*BanHang[[#This Row],[Đơn giá (trđ/m²)]]</f>
        <v>43616.76</v>
      </c>
      <c r="L28" s="4">
        <v>0.01</v>
      </c>
      <c r="M28" t="s">
        <v>53</v>
      </c>
      <c r="N28" s="3">
        <f>IF(BanHang[[#This Row],[Trạng thái]]="Huỷ cọc",0,BanHang[[#This Row],[Giá trị hợp đồng (trđ)]]*(1-BanHang[[#This Row],[Chiết khấu (%)]]))</f>
        <v>43180.592400000001</v>
      </c>
    </row>
    <row r="29" spans="1:14" x14ac:dyDescent="0.3">
      <c r="A29" t="s">
        <v>58</v>
      </c>
      <c r="B29" s="1">
        <v>46045.53125</v>
      </c>
      <c r="C29" t="str">
        <f>"Tháng "&amp;MONTH(BanHang[[#This Row],[Ngày giờ bán]])</f>
        <v>Tháng 1</v>
      </c>
      <c r="D29" t="s">
        <v>49</v>
      </c>
      <c r="E29" t="s">
        <v>50</v>
      </c>
      <c r="F29" t="s">
        <v>156</v>
      </c>
      <c r="G29" t="s">
        <v>51</v>
      </c>
      <c r="H29" t="s">
        <v>79</v>
      </c>
      <c r="I29" s="2">
        <v>91.1</v>
      </c>
      <c r="J29" s="2">
        <v>75.400000000000006</v>
      </c>
      <c r="K29" s="3">
        <f>BanHang[[#This Row],[Diện tích (m²)]]*BanHang[[#This Row],[Đơn giá (trđ/m²)]]</f>
        <v>6868.9400000000005</v>
      </c>
      <c r="L29" s="4">
        <v>0</v>
      </c>
      <c r="M29" t="s">
        <v>27</v>
      </c>
      <c r="N29" s="3">
        <f>IF(BanHang[[#This Row],[Trạng thái]]="Huỷ cọc",0,BanHang[[#This Row],[Giá trị hợp đồng (trđ)]]*(1-BanHang[[#This Row],[Chiết khấu (%)]]))</f>
        <v>6868.9400000000005</v>
      </c>
    </row>
    <row r="30" spans="1:14" x14ac:dyDescent="0.3">
      <c r="A30" t="s">
        <v>59</v>
      </c>
      <c r="B30" s="1">
        <v>46045.635416666664</v>
      </c>
      <c r="C30" t="str">
        <f>"Tháng "&amp;MONTH(BanHang[[#This Row],[Ngày giờ bán]])</f>
        <v>Tháng 1</v>
      </c>
      <c r="D30" t="s">
        <v>22</v>
      </c>
      <c r="E30" t="s">
        <v>23</v>
      </c>
      <c r="F30" t="s">
        <v>103</v>
      </c>
      <c r="G30" t="s">
        <v>51</v>
      </c>
      <c r="H30" t="s">
        <v>79</v>
      </c>
      <c r="I30" s="2">
        <v>120.5</v>
      </c>
      <c r="J30" s="2">
        <v>138.4</v>
      </c>
      <c r="K30" s="3">
        <f>BanHang[[#This Row],[Diện tích (m²)]]*BanHang[[#This Row],[Đơn giá (trđ/m²)]]</f>
        <v>16677.2</v>
      </c>
      <c r="L30" s="4">
        <v>0.08</v>
      </c>
      <c r="M30" t="s">
        <v>53</v>
      </c>
      <c r="N30" s="3">
        <f>IF(BanHang[[#This Row],[Trạng thái]]="Huỷ cọc",0,BanHang[[#This Row],[Giá trị hợp đồng (trđ)]]*(1-BanHang[[#This Row],[Chiết khấu (%)]]))</f>
        <v>15343.024000000001</v>
      </c>
    </row>
    <row r="31" spans="1:14" x14ac:dyDescent="0.3">
      <c r="A31" t="s">
        <v>60</v>
      </c>
      <c r="B31" s="1">
        <v>46046.59375</v>
      </c>
      <c r="C31" t="str">
        <f>"Tháng "&amp;MONTH(BanHang[[#This Row],[Ngày giờ bán]])</f>
        <v>Tháng 1</v>
      </c>
      <c r="D31" t="s">
        <v>76</v>
      </c>
      <c r="E31" t="s">
        <v>50</v>
      </c>
      <c r="F31" t="s">
        <v>107</v>
      </c>
      <c r="G31" t="s">
        <v>18</v>
      </c>
      <c r="H31" t="s">
        <v>19</v>
      </c>
      <c r="I31" s="2">
        <v>91.9</v>
      </c>
      <c r="J31" s="2">
        <v>42.8</v>
      </c>
      <c r="K31" s="3">
        <f>BanHang[[#This Row],[Diện tích (m²)]]*BanHang[[#This Row],[Đơn giá (trđ/m²)]]</f>
        <v>3933.32</v>
      </c>
      <c r="L31" s="4">
        <v>7.0000000000000007E-2</v>
      </c>
      <c r="M31" t="s">
        <v>53</v>
      </c>
      <c r="N31" s="3">
        <f>IF(BanHang[[#This Row],[Trạng thái]]="Huỷ cọc",0,BanHang[[#This Row],[Giá trị hợp đồng (trđ)]]*(1-BanHang[[#This Row],[Chiết khấu (%)]]))</f>
        <v>3657.9875999999999</v>
      </c>
    </row>
    <row r="32" spans="1:14" x14ac:dyDescent="0.3">
      <c r="A32" t="s">
        <v>61</v>
      </c>
      <c r="B32" s="1">
        <v>46046.708333333336</v>
      </c>
      <c r="C32" t="str">
        <f>"Tháng "&amp;MONTH(BanHang[[#This Row],[Ngày giờ bán]])</f>
        <v>Tháng 1</v>
      </c>
      <c r="D32" t="s">
        <v>179</v>
      </c>
      <c r="E32" t="s">
        <v>180</v>
      </c>
      <c r="F32" t="s">
        <v>103</v>
      </c>
      <c r="G32" t="s">
        <v>51</v>
      </c>
      <c r="H32" t="s">
        <v>476</v>
      </c>
      <c r="I32" s="2">
        <v>160.9</v>
      </c>
      <c r="J32" s="2">
        <v>31.6</v>
      </c>
      <c r="K32" s="3">
        <f>BanHang[[#This Row],[Diện tích (m²)]]*BanHang[[#This Row],[Đơn giá (trđ/m²)]]</f>
        <v>5084.4400000000005</v>
      </c>
      <c r="L32" s="4">
        <v>0</v>
      </c>
      <c r="M32" t="s">
        <v>27</v>
      </c>
      <c r="N32" s="3">
        <f>IF(BanHang[[#This Row],[Trạng thái]]="Huỷ cọc",0,BanHang[[#This Row],[Giá trị hợp đồng (trđ)]]*(1-BanHang[[#This Row],[Chiết khấu (%)]]))</f>
        <v>5084.4400000000005</v>
      </c>
    </row>
    <row r="33" spans="1:14" x14ac:dyDescent="0.3">
      <c r="A33" t="s">
        <v>62</v>
      </c>
      <c r="B33" s="1">
        <v>46047.53125</v>
      </c>
      <c r="C33" t="str">
        <f>"Tháng "&amp;MONTH(BanHang[[#This Row],[Ngày giờ bán]])</f>
        <v>Tháng 1</v>
      </c>
      <c r="D33" t="s">
        <v>101</v>
      </c>
      <c r="E33" t="s">
        <v>50</v>
      </c>
      <c r="F33" t="s">
        <v>107</v>
      </c>
      <c r="G33" t="s">
        <v>18</v>
      </c>
      <c r="H33" t="s">
        <v>134</v>
      </c>
      <c r="I33" s="2">
        <v>88.3</v>
      </c>
      <c r="J33" s="2">
        <v>67.5</v>
      </c>
      <c r="K33" s="3">
        <f>BanHang[[#This Row],[Diện tích (m²)]]*BanHang[[#This Row],[Đơn giá (trđ/m²)]]</f>
        <v>5960.25</v>
      </c>
      <c r="L33" s="4">
        <v>0.05</v>
      </c>
      <c r="M33" t="s">
        <v>53</v>
      </c>
      <c r="N33" s="3">
        <f>IF(BanHang[[#This Row],[Trạng thái]]="Huỷ cọc",0,BanHang[[#This Row],[Giá trị hợp đồng (trđ)]]*(1-BanHang[[#This Row],[Chiết khấu (%)]]))</f>
        <v>5662.2375000000002</v>
      </c>
    </row>
    <row r="34" spans="1:14" x14ac:dyDescent="0.3">
      <c r="A34" t="s">
        <v>63</v>
      </c>
      <c r="B34" s="1">
        <v>46047.760416666664</v>
      </c>
      <c r="C34" t="str">
        <f>"Tháng "&amp;MONTH(BanHang[[#This Row],[Ngày giờ bán]])</f>
        <v>Tháng 1</v>
      </c>
      <c r="D34" t="s">
        <v>454</v>
      </c>
      <c r="E34" t="s">
        <v>106</v>
      </c>
      <c r="F34" t="s">
        <v>103</v>
      </c>
      <c r="G34" t="s">
        <v>51</v>
      </c>
      <c r="H34" t="s">
        <v>134</v>
      </c>
      <c r="I34" s="2">
        <v>178.7</v>
      </c>
      <c r="J34" s="2">
        <v>156.6</v>
      </c>
      <c r="K34" s="3">
        <f>BanHang[[#This Row],[Diện tích (m²)]]*BanHang[[#This Row],[Đơn giá (trđ/m²)]]</f>
        <v>27984.42</v>
      </c>
      <c r="L34" s="4">
        <v>0.03</v>
      </c>
      <c r="M34" t="s">
        <v>53</v>
      </c>
      <c r="N34" s="3">
        <f>IF(BanHang[[#This Row],[Trạng thái]]="Huỷ cọc",0,BanHang[[#This Row],[Giá trị hợp đồng (trđ)]]*(1-BanHang[[#This Row],[Chiết khấu (%)]]))</f>
        <v>27144.887399999996</v>
      </c>
    </row>
    <row r="35" spans="1:14" x14ac:dyDescent="0.3">
      <c r="A35" t="s">
        <v>64</v>
      </c>
      <c r="B35" s="1">
        <v>46048.520833333336</v>
      </c>
      <c r="C35" t="str">
        <f>"Tháng "&amp;MONTH(BanHang[[#This Row],[Ngày giờ bán]])</f>
        <v>Tháng 1</v>
      </c>
      <c r="D35" t="s">
        <v>101</v>
      </c>
      <c r="E35" t="s">
        <v>50</v>
      </c>
      <c r="F35" t="s">
        <v>107</v>
      </c>
      <c r="G35" t="s">
        <v>51</v>
      </c>
      <c r="H35" t="s">
        <v>109</v>
      </c>
      <c r="I35" s="2">
        <v>75.2</v>
      </c>
      <c r="J35" s="2">
        <v>58.2</v>
      </c>
      <c r="K35" s="3">
        <f>BanHang[[#This Row],[Diện tích (m²)]]*BanHang[[#This Row],[Đơn giá (trđ/m²)]]</f>
        <v>4376.6400000000003</v>
      </c>
      <c r="L35" s="4">
        <v>0</v>
      </c>
      <c r="M35" t="s">
        <v>53</v>
      </c>
      <c r="N35" s="3">
        <f>IF(BanHang[[#This Row],[Trạng thái]]="Huỷ cọc",0,BanHang[[#This Row],[Giá trị hợp đồng (trđ)]]*(1-BanHang[[#This Row],[Chiết khấu (%)]]))</f>
        <v>4376.6400000000003</v>
      </c>
    </row>
    <row r="36" spans="1:14" x14ac:dyDescent="0.3">
      <c r="A36" t="s">
        <v>65</v>
      </c>
      <c r="B36" s="1">
        <v>46051.697916666664</v>
      </c>
      <c r="C36" t="str">
        <f>"Tháng "&amp;MONTH(BanHang[[#This Row],[Ngày giờ bán]])</f>
        <v>Tháng 1</v>
      </c>
      <c r="D36" t="s">
        <v>111</v>
      </c>
      <c r="E36" t="s">
        <v>50</v>
      </c>
      <c r="F36" t="s">
        <v>17</v>
      </c>
      <c r="G36" t="s">
        <v>108</v>
      </c>
      <c r="H36" t="s">
        <v>406</v>
      </c>
      <c r="I36" s="2">
        <v>66.3</v>
      </c>
      <c r="J36" s="2">
        <v>65.400000000000006</v>
      </c>
      <c r="K36" s="3">
        <f>BanHang[[#This Row],[Diện tích (m²)]]*BanHang[[#This Row],[Đơn giá (trđ/m²)]]</f>
        <v>4336.0200000000004</v>
      </c>
      <c r="L36" s="4">
        <v>0.05</v>
      </c>
      <c r="M36" t="s">
        <v>20</v>
      </c>
      <c r="N36" s="3">
        <f>IF(BanHang[[#This Row],[Trạng thái]]="Huỷ cọc",0,BanHang[[#This Row],[Giá trị hợp đồng (trđ)]]*(1-BanHang[[#This Row],[Chiết khấu (%)]]))</f>
        <v>0</v>
      </c>
    </row>
    <row r="37" spans="1:14" x14ac:dyDescent="0.3">
      <c r="A37" t="s">
        <v>66</v>
      </c>
      <c r="B37" s="1">
        <v>46052.666666666664</v>
      </c>
      <c r="C37" t="str">
        <f>"Tháng "&amp;MONTH(BanHang[[#This Row],[Ngày giờ bán]])</f>
        <v>Tháng 1</v>
      </c>
      <c r="D37" t="s">
        <v>49</v>
      </c>
      <c r="E37" t="s">
        <v>50</v>
      </c>
      <c r="F37" t="s">
        <v>17</v>
      </c>
      <c r="G37" t="s">
        <v>78</v>
      </c>
      <c r="H37" t="s">
        <v>19</v>
      </c>
      <c r="I37" s="2">
        <v>92.9</v>
      </c>
      <c r="J37" s="2">
        <v>71</v>
      </c>
      <c r="K37" s="3">
        <f>BanHang[[#This Row],[Diện tích (m²)]]*BanHang[[#This Row],[Đơn giá (trđ/m²)]]</f>
        <v>6595.9000000000005</v>
      </c>
      <c r="L37" s="4">
        <v>0.05</v>
      </c>
      <c r="M37" t="s">
        <v>53</v>
      </c>
      <c r="N37" s="3">
        <f>IF(BanHang[[#This Row],[Trạng thái]]="Huỷ cọc",0,BanHang[[#This Row],[Giá trị hợp đồng (trđ)]]*(1-BanHang[[#This Row],[Chiết khấu (%)]]))</f>
        <v>6266.1050000000005</v>
      </c>
    </row>
    <row r="38" spans="1:14" x14ac:dyDescent="0.3">
      <c r="A38" t="s">
        <v>67</v>
      </c>
      <c r="B38" s="1">
        <v>46052.802083333328</v>
      </c>
      <c r="C38" t="str">
        <f>"Tháng "&amp;MONTH(BanHang[[#This Row],[Ngày giờ bán]])</f>
        <v>Tháng 1</v>
      </c>
      <c r="D38" t="s">
        <v>111</v>
      </c>
      <c r="E38" t="s">
        <v>50</v>
      </c>
      <c r="F38" t="s">
        <v>77</v>
      </c>
      <c r="G38" t="s">
        <v>108</v>
      </c>
      <c r="H38" t="s">
        <v>476</v>
      </c>
      <c r="I38" s="2">
        <v>67.599999999999994</v>
      </c>
      <c r="J38" s="2">
        <v>69.5</v>
      </c>
      <c r="K38" s="3">
        <f>BanHang[[#This Row],[Diện tích (m²)]]*BanHang[[#This Row],[Đơn giá (trđ/m²)]]</f>
        <v>4698.2</v>
      </c>
      <c r="L38" s="4">
        <v>0.03</v>
      </c>
      <c r="M38" t="s">
        <v>53</v>
      </c>
      <c r="N38" s="3">
        <f>IF(BanHang[[#This Row],[Trạng thái]]="Huỷ cọc",0,BanHang[[#This Row],[Giá trị hợp đồng (trđ)]]*(1-BanHang[[#This Row],[Chiết khấu (%)]]))</f>
        <v>4557.2539999999999</v>
      </c>
    </row>
    <row r="39" spans="1:14" x14ac:dyDescent="0.3">
      <c r="A39" t="s">
        <v>68</v>
      </c>
      <c r="B39" s="1">
        <v>46053.822916666664</v>
      </c>
      <c r="C39" t="str">
        <f>"Tháng "&amp;MONTH(BanHang[[#This Row],[Ngày giờ bán]])</f>
        <v>Tháng 1</v>
      </c>
      <c r="D39" t="s">
        <v>225</v>
      </c>
      <c r="E39" t="s">
        <v>180</v>
      </c>
      <c r="F39" t="s">
        <v>17</v>
      </c>
      <c r="G39" t="s">
        <v>108</v>
      </c>
      <c r="H39" t="s">
        <v>157</v>
      </c>
      <c r="I39" s="2">
        <v>154.5</v>
      </c>
      <c r="J39" s="2">
        <v>23.1</v>
      </c>
      <c r="K39" s="3">
        <f>BanHang[[#This Row],[Diện tích (m²)]]*BanHang[[#This Row],[Đơn giá (trđ/m²)]]</f>
        <v>3568.9500000000003</v>
      </c>
      <c r="L39" s="4">
        <v>0.03</v>
      </c>
      <c r="M39" t="s">
        <v>53</v>
      </c>
      <c r="N39" s="3">
        <f>IF(BanHang[[#This Row],[Trạng thái]]="Huỷ cọc",0,BanHang[[#This Row],[Giá trị hợp đồng (trđ)]]*(1-BanHang[[#This Row],[Chiết khấu (%)]]))</f>
        <v>3461.8815</v>
      </c>
    </row>
    <row r="40" spans="1:14" x14ac:dyDescent="0.3">
      <c r="A40" t="s">
        <v>69</v>
      </c>
      <c r="B40" s="1">
        <v>46054.354166666672</v>
      </c>
      <c r="C40" t="str">
        <f>"Tháng "&amp;MONTH(BanHang[[#This Row],[Ngày giờ bán]])</f>
        <v>Tháng 2</v>
      </c>
      <c r="D40" t="s">
        <v>479</v>
      </c>
      <c r="E40" t="s">
        <v>23</v>
      </c>
      <c r="F40" t="s">
        <v>156</v>
      </c>
      <c r="G40" t="s">
        <v>108</v>
      </c>
      <c r="H40" t="s">
        <v>26</v>
      </c>
      <c r="I40" s="2">
        <v>145.1</v>
      </c>
      <c r="J40" s="2">
        <v>89.9</v>
      </c>
      <c r="K40" s="3">
        <f>BanHang[[#This Row],[Diện tích (m²)]]*BanHang[[#This Row],[Đơn giá (trđ/m²)]]</f>
        <v>13044.49</v>
      </c>
      <c r="L40" s="4">
        <v>0.03</v>
      </c>
      <c r="M40" t="s">
        <v>53</v>
      </c>
      <c r="N40" s="3">
        <f>IF(BanHang[[#This Row],[Trạng thái]]="Huỷ cọc",0,BanHang[[#This Row],[Giá trị hợp đồng (trđ)]]*(1-BanHang[[#This Row],[Chiết khấu (%)]]))</f>
        <v>12653.155299999999</v>
      </c>
    </row>
    <row r="41" spans="1:14" x14ac:dyDescent="0.3">
      <c r="A41" t="s">
        <v>70</v>
      </c>
      <c r="B41" s="1">
        <v>46055.760416666664</v>
      </c>
      <c r="C41" t="str">
        <f>"Tháng "&amp;MONTH(BanHang[[#This Row],[Ngày giờ bán]])</f>
        <v>Tháng 2</v>
      </c>
      <c r="D41" t="s">
        <v>76</v>
      </c>
      <c r="E41" t="s">
        <v>50</v>
      </c>
      <c r="F41" t="s">
        <v>77</v>
      </c>
      <c r="G41" t="s">
        <v>18</v>
      </c>
      <c r="H41" t="s">
        <v>406</v>
      </c>
      <c r="I41" s="2">
        <v>82.4</v>
      </c>
      <c r="J41" s="2">
        <v>60.5</v>
      </c>
      <c r="K41" s="3">
        <f>BanHang[[#This Row],[Diện tích (m²)]]*BanHang[[#This Row],[Đơn giá (trđ/m²)]]</f>
        <v>4985.2000000000007</v>
      </c>
      <c r="L41" s="4">
        <v>0</v>
      </c>
      <c r="M41" t="s">
        <v>27</v>
      </c>
      <c r="N41" s="3">
        <f>IF(BanHang[[#This Row],[Trạng thái]]="Huỷ cọc",0,BanHang[[#This Row],[Giá trị hợp đồng (trđ)]]*(1-BanHang[[#This Row],[Chiết khấu (%)]]))</f>
        <v>4985.2000000000007</v>
      </c>
    </row>
    <row r="42" spans="1:14" x14ac:dyDescent="0.3">
      <c r="A42" t="s">
        <v>71</v>
      </c>
      <c r="B42" s="1">
        <v>46058.40625</v>
      </c>
      <c r="C42" t="str">
        <f>"Tháng "&amp;MONTH(BanHang[[#This Row],[Ngày giờ bán]])</f>
        <v>Tháng 2</v>
      </c>
      <c r="D42" t="s">
        <v>478</v>
      </c>
      <c r="E42" t="s">
        <v>384</v>
      </c>
      <c r="F42" t="s">
        <v>156</v>
      </c>
      <c r="G42" t="s">
        <v>18</v>
      </c>
      <c r="H42" t="s">
        <v>19</v>
      </c>
      <c r="I42" s="2">
        <v>52.7</v>
      </c>
      <c r="J42" s="2">
        <v>63.9</v>
      </c>
      <c r="K42" s="3">
        <f>BanHang[[#This Row],[Diện tích (m²)]]*BanHang[[#This Row],[Đơn giá (trđ/m²)]]</f>
        <v>3367.53</v>
      </c>
      <c r="L42" s="4">
        <v>0</v>
      </c>
      <c r="M42" t="s">
        <v>53</v>
      </c>
      <c r="N42" s="3">
        <f>IF(BanHang[[#This Row],[Trạng thái]]="Huỷ cọc",0,BanHang[[#This Row],[Giá trị hợp đồng (trđ)]]*(1-BanHang[[#This Row],[Chiết khấu (%)]]))</f>
        <v>3367.53</v>
      </c>
    </row>
    <row r="43" spans="1:14" x14ac:dyDescent="0.3">
      <c r="A43" t="s">
        <v>72</v>
      </c>
      <c r="B43" s="1">
        <v>46058.5</v>
      </c>
      <c r="C43" t="str">
        <f>"Tháng "&amp;MONTH(BanHang[[#This Row],[Ngày giờ bán]])</f>
        <v>Tháng 2</v>
      </c>
      <c r="D43" t="s">
        <v>479</v>
      </c>
      <c r="E43" t="s">
        <v>23</v>
      </c>
      <c r="F43" t="s">
        <v>107</v>
      </c>
      <c r="G43" t="s">
        <v>51</v>
      </c>
      <c r="H43" t="s">
        <v>406</v>
      </c>
      <c r="I43" s="2">
        <v>116.2</v>
      </c>
      <c r="J43" s="2">
        <v>111.8</v>
      </c>
      <c r="K43" s="3">
        <f>BanHang[[#This Row],[Diện tích (m²)]]*BanHang[[#This Row],[Đơn giá (trđ/m²)]]</f>
        <v>12991.16</v>
      </c>
      <c r="L43" s="4">
        <v>0.03</v>
      </c>
      <c r="M43" t="s">
        <v>27</v>
      </c>
      <c r="N43" s="3">
        <f>IF(BanHang[[#This Row],[Trạng thái]]="Huỷ cọc",0,BanHang[[#This Row],[Giá trị hợp đồng (trđ)]]*(1-BanHang[[#This Row],[Chiết khấu (%)]]))</f>
        <v>12601.4252</v>
      </c>
    </row>
    <row r="44" spans="1:14" x14ac:dyDescent="0.3">
      <c r="A44" t="s">
        <v>73</v>
      </c>
      <c r="B44" s="1">
        <v>46058.635416666664</v>
      </c>
      <c r="C44" t="str">
        <f>"Tháng "&amp;MONTH(BanHang[[#This Row],[Ngày giờ bán]])</f>
        <v>Tháng 2</v>
      </c>
      <c r="D44" t="s">
        <v>408</v>
      </c>
      <c r="E44" t="s">
        <v>180</v>
      </c>
      <c r="F44" t="s">
        <v>24</v>
      </c>
      <c r="G44" t="s">
        <v>18</v>
      </c>
      <c r="H44" t="s">
        <v>26</v>
      </c>
      <c r="I44" s="2">
        <v>137.69999999999999</v>
      </c>
      <c r="J44" s="2">
        <v>39.6</v>
      </c>
      <c r="K44" s="3">
        <f>BanHang[[#This Row],[Diện tích (m²)]]*BanHang[[#This Row],[Đơn giá (trđ/m²)]]</f>
        <v>5452.92</v>
      </c>
      <c r="L44" s="4">
        <v>0.05</v>
      </c>
      <c r="M44" t="s">
        <v>27</v>
      </c>
      <c r="N44" s="3">
        <f>IF(BanHang[[#This Row],[Trạng thái]]="Huỷ cọc",0,BanHang[[#This Row],[Giá trị hợp đồng (trđ)]]*(1-BanHang[[#This Row],[Chiết khấu (%)]]))</f>
        <v>5180.2739999999994</v>
      </c>
    </row>
    <row r="45" spans="1:14" x14ac:dyDescent="0.3">
      <c r="A45" t="s">
        <v>74</v>
      </c>
      <c r="B45" s="1">
        <v>46058.822916666664</v>
      </c>
      <c r="C45" t="str">
        <f>"Tháng "&amp;MONTH(BanHang[[#This Row],[Ngày giờ bán]])</f>
        <v>Tháng 2</v>
      </c>
      <c r="D45" t="s">
        <v>225</v>
      </c>
      <c r="E45" t="s">
        <v>180</v>
      </c>
      <c r="F45" t="s">
        <v>107</v>
      </c>
      <c r="G45" t="s">
        <v>51</v>
      </c>
      <c r="H45" t="s">
        <v>476</v>
      </c>
      <c r="I45" s="2">
        <v>176.9</v>
      </c>
      <c r="J45" s="2">
        <v>43.6</v>
      </c>
      <c r="K45" s="3">
        <f>BanHang[[#This Row],[Diện tích (m²)]]*BanHang[[#This Row],[Đơn giá (trđ/m²)]]</f>
        <v>7712.84</v>
      </c>
      <c r="L45" s="4">
        <v>0.03</v>
      </c>
      <c r="M45" t="s">
        <v>27</v>
      </c>
      <c r="N45" s="3">
        <f>IF(BanHang[[#This Row],[Trạng thái]]="Huỷ cọc",0,BanHang[[#This Row],[Giá trị hợp đồng (trđ)]]*(1-BanHang[[#This Row],[Chiết khấu (%)]]))</f>
        <v>7481.4547999999995</v>
      </c>
    </row>
    <row r="46" spans="1:14" x14ac:dyDescent="0.3">
      <c r="A46" t="s">
        <v>75</v>
      </c>
      <c r="B46" s="1">
        <v>46059.364583333336</v>
      </c>
      <c r="C46" t="str">
        <f>"Tháng "&amp;MONTH(BanHang[[#This Row],[Ngày giờ bán]])</f>
        <v>Tháng 2</v>
      </c>
      <c r="D46" t="s">
        <v>49</v>
      </c>
      <c r="E46" t="s">
        <v>50</v>
      </c>
      <c r="F46" t="s">
        <v>77</v>
      </c>
      <c r="G46" t="s">
        <v>108</v>
      </c>
      <c r="H46" t="s">
        <v>406</v>
      </c>
      <c r="I46" s="2">
        <v>80.7</v>
      </c>
      <c r="J46" s="2">
        <v>76.8</v>
      </c>
      <c r="K46" s="3">
        <f>BanHang[[#This Row],[Diện tích (m²)]]*BanHang[[#This Row],[Đơn giá (trđ/m²)]]</f>
        <v>6197.76</v>
      </c>
      <c r="L46" s="4">
        <v>0</v>
      </c>
      <c r="M46" t="s">
        <v>53</v>
      </c>
      <c r="N46" s="3">
        <f>IF(BanHang[[#This Row],[Trạng thái]]="Huỷ cọc",0,BanHang[[#This Row],[Giá trị hợp đồng (trđ)]]*(1-BanHang[[#This Row],[Chiết khấu (%)]]))</f>
        <v>6197.76</v>
      </c>
    </row>
    <row r="47" spans="1:14" x14ac:dyDescent="0.3">
      <c r="A47" t="s">
        <v>80</v>
      </c>
      <c r="B47" s="1">
        <v>46059.552083333328</v>
      </c>
      <c r="C47" t="str">
        <f>"Tháng "&amp;MONTH(BanHang[[#This Row],[Ngày giờ bán]])</f>
        <v>Tháng 2</v>
      </c>
      <c r="D47" t="s">
        <v>477</v>
      </c>
      <c r="E47" t="s">
        <v>106</v>
      </c>
      <c r="F47" t="s">
        <v>107</v>
      </c>
      <c r="G47" t="s">
        <v>51</v>
      </c>
      <c r="H47" t="s">
        <v>19</v>
      </c>
      <c r="I47" s="2">
        <v>152.9</v>
      </c>
      <c r="J47" s="2">
        <v>198</v>
      </c>
      <c r="K47" s="3">
        <f>BanHang[[#This Row],[Diện tích (m²)]]*BanHang[[#This Row],[Đơn giá (trđ/m²)]]</f>
        <v>30274.2</v>
      </c>
      <c r="L47" s="4">
        <v>0.02</v>
      </c>
      <c r="M47" t="s">
        <v>53</v>
      </c>
      <c r="N47" s="3">
        <f>IF(BanHang[[#This Row],[Trạng thái]]="Huỷ cọc",0,BanHang[[#This Row],[Giá trị hợp đồng (trđ)]]*(1-BanHang[[#This Row],[Chiết khấu (%)]]))</f>
        <v>29668.716</v>
      </c>
    </row>
    <row r="48" spans="1:14" x14ac:dyDescent="0.3">
      <c r="A48" t="s">
        <v>81</v>
      </c>
      <c r="B48" s="1">
        <v>46061.364583333336</v>
      </c>
      <c r="C48" t="str">
        <f>"Tháng "&amp;MONTH(BanHang[[#This Row],[Ngày giờ bán]])</f>
        <v>Tháng 2</v>
      </c>
      <c r="D48" t="s">
        <v>249</v>
      </c>
      <c r="E48" t="s">
        <v>16</v>
      </c>
      <c r="F48" t="s">
        <v>77</v>
      </c>
      <c r="G48" t="s">
        <v>108</v>
      </c>
      <c r="H48" t="s">
        <v>109</v>
      </c>
      <c r="I48" s="2">
        <v>255.1</v>
      </c>
      <c r="J48" s="2">
        <v>120.7</v>
      </c>
      <c r="K48" s="3">
        <f>BanHang[[#This Row],[Diện tích (m²)]]*BanHang[[#This Row],[Đơn giá (trđ/m²)]]</f>
        <v>30790.57</v>
      </c>
      <c r="L48" s="4">
        <v>0.03</v>
      </c>
      <c r="M48" t="s">
        <v>27</v>
      </c>
      <c r="N48" s="3">
        <f>IF(BanHang[[#This Row],[Trạng thái]]="Huỷ cọc",0,BanHang[[#This Row],[Giá trị hợp đồng (trđ)]]*(1-BanHang[[#This Row],[Chiết khấu (%)]]))</f>
        <v>29866.852899999998</v>
      </c>
    </row>
    <row r="49" spans="1:14" x14ac:dyDescent="0.3">
      <c r="A49" t="s">
        <v>82</v>
      </c>
      <c r="B49" s="1">
        <v>46061.625</v>
      </c>
      <c r="C49" t="str">
        <f>"Tháng "&amp;MONTH(BanHang[[#This Row],[Ngày giờ bán]])</f>
        <v>Tháng 2</v>
      </c>
      <c r="D49" t="s">
        <v>22</v>
      </c>
      <c r="E49" t="s">
        <v>23</v>
      </c>
      <c r="F49" t="s">
        <v>17</v>
      </c>
      <c r="G49" t="s">
        <v>78</v>
      </c>
      <c r="H49" t="s">
        <v>157</v>
      </c>
      <c r="I49" s="2">
        <v>122.6</v>
      </c>
      <c r="J49" s="2">
        <v>109.5</v>
      </c>
      <c r="K49" s="3">
        <f>BanHang[[#This Row],[Diện tích (m²)]]*BanHang[[#This Row],[Đơn giá (trđ/m²)]]</f>
        <v>13424.699999999999</v>
      </c>
      <c r="L49" s="4">
        <v>7.0000000000000007E-2</v>
      </c>
      <c r="M49" t="s">
        <v>53</v>
      </c>
      <c r="N49" s="3">
        <f>IF(BanHang[[#This Row],[Trạng thái]]="Huỷ cọc",0,BanHang[[#This Row],[Giá trị hợp đồng (trđ)]]*(1-BanHang[[#This Row],[Chiết khấu (%)]]))</f>
        <v>12484.970999999998</v>
      </c>
    </row>
    <row r="50" spans="1:14" x14ac:dyDescent="0.3">
      <c r="A50" t="s">
        <v>83</v>
      </c>
      <c r="B50" s="1">
        <v>46062.46875</v>
      </c>
      <c r="C50" t="str">
        <f>"Tháng "&amp;MONTH(BanHang[[#This Row],[Ngày giờ bán]])</f>
        <v>Tháng 2</v>
      </c>
      <c r="D50" t="s">
        <v>101</v>
      </c>
      <c r="E50" t="s">
        <v>50</v>
      </c>
      <c r="F50" t="s">
        <v>156</v>
      </c>
      <c r="G50" t="s">
        <v>18</v>
      </c>
      <c r="H50" t="s">
        <v>226</v>
      </c>
      <c r="I50" s="2">
        <v>59.3</v>
      </c>
      <c r="J50" s="2">
        <v>46.7</v>
      </c>
      <c r="K50" s="3">
        <f>BanHang[[#This Row],[Diện tích (m²)]]*BanHang[[#This Row],[Đơn giá (trđ/m²)]]</f>
        <v>2769.31</v>
      </c>
      <c r="L50" s="4">
        <v>0.01</v>
      </c>
      <c r="M50" t="s">
        <v>27</v>
      </c>
      <c r="N50" s="3">
        <f>IF(BanHang[[#This Row],[Trạng thái]]="Huỷ cọc",0,BanHang[[#This Row],[Giá trị hợp đồng (trđ)]]*(1-BanHang[[#This Row],[Chiết khấu (%)]]))</f>
        <v>2741.6169</v>
      </c>
    </row>
    <row r="51" spans="1:14" x14ac:dyDescent="0.3">
      <c r="A51" t="s">
        <v>84</v>
      </c>
      <c r="B51" s="1">
        <v>46063.645833333336</v>
      </c>
      <c r="C51" t="str">
        <f>"Tháng "&amp;MONTH(BanHang[[#This Row],[Ngày giờ bán]])</f>
        <v>Tháng 2</v>
      </c>
      <c r="D51" t="s">
        <v>101</v>
      </c>
      <c r="E51" t="s">
        <v>50</v>
      </c>
      <c r="F51" t="s">
        <v>156</v>
      </c>
      <c r="G51" t="s">
        <v>51</v>
      </c>
      <c r="H51" t="s">
        <v>19</v>
      </c>
      <c r="I51" s="2">
        <v>59.3</v>
      </c>
      <c r="J51" s="2">
        <v>57.4</v>
      </c>
      <c r="K51" s="3">
        <f>BanHang[[#This Row],[Diện tích (m²)]]*BanHang[[#This Row],[Đơn giá (trđ/m²)]]</f>
        <v>3403.8199999999997</v>
      </c>
      <c r="L51" s="4">
        <v>0.05</v>
      </c>
      <c r="M51" t="s">
        <v>53</v>
      </c>
      <c r="N51" s="3">
        <f>IF(BanHang[[#This Row],[Trạng thái]]="Huỷ cọc",0,BanHang[[#This Row],[Giá trị hợp đồng (trđ)]]*(1-BanHang[[#This Row],[Chiết khấu (%)]]))</f>
        <v>3233.6289999999995</v>
      </c>
    </row>
    <row r="52" spans="1:14" x14ac:dyDescent="0.3">
      <c r="A52" t="s">
        <v>85</v>
      </c>
      <c r="B52" s="1">
        <v>46065.416666666664</v>
      </c>
      <c r="C52" t="str">
        <f>"Tháng "&amp;MONTH(BanHang[[#This Row],[Ngày giờ bán]])</f>
        <v>Tháng 2</v>
      </c>
      <c r="D52" t="s">
        <v>225</v>
      </c>
      <c r="E52" t="s">
        <v>180</v>
      </c>
      <c r="F52" t="s">
        <v>24</v>
      </c>
      <c r="G52" t="s">
        <v>51</v>
      </c>
      <c r="H52" t="s">
        <v>476</v>
      </c>
      <c r="I52" s="2">
        <v>189.9</v>
      </c>
      <c r="J52" s="2">
        <v>45.6</v>
      </c>
      <c r="K52" s="3">
        <f>BanHang[[#This Row],[Diện tích (m²)]]*BanHang[[#This Row],[Đơn giá (trđ/m²)]]</f>
        <v>8659.44</v>
      </c>
      <c r="L52" s="4">
        <v>0</v>
      </c>
      <c r="M52" t="s">
        <v>53</v>
      </c>
      <c r="N52" s="3">
        <f>IF(BanHang[[#This Row],[Trạng thái]]="Huỷ cọc",0,BanHang[[#This Row],[Giá trị hợp đồng (trđ)]]*(1-BanHang[[#This Row],[Chiết khấu (%)]]))</f>
        <v>8659.44</v>
      </c>
    </row>
    <row r="53" spans="1:14" x14ac:dyDescent="0.3">
      <c r="A53" t="s">
        <v>86</v>
      </c>
      <c r="B53" s="1">
        <v>46065.635416666664</v>
      </c>
      <c r="C53" t="str">
        <f>"Tháng "&amp;MONTH(BanHang[[#This Row],[Ngày giờ bán]])</f>
        <v>Tháng 2</v>
      </c>
      <c r="D53" t="s">
        <v>49</v>
      </c>
      <c r="E53" t="s">
        <v>50</v>
      </c>
      <c r="F53" t="s">
        <v>103</v>
      </c>
      <c r="G53" t="s">
        <v>51</v>
      </c>
      <c r="H53" t="s">
        <v>406</v>
      </c>
      <c r="I53" s="2">
        <v>64.2</v>
      </c>
      <c r="J53" s="2">
        <v>62.9</v>
      </c>
      <c r="K53" s="3">
        <f>BanHang[[#This Row],[Diện tích (m²)]]*BanHang[[#This Row],[Đơn giá (trđ/m²)]]</f>
        <v>4038.1800000000003</v>
      </c>
      <c r="L53" s="4">
        <v>0.03</v>
      </c>
      <c r="M53" t="s">
        <v>20</v>
      </c>
      <c r="N53" s="3">
        <f>IF(BanHang[[#This Row],[Trạng thái]]="Huỷ cọc",0,BanHang[[#This Row],[Giá trị hợp đồng (trđ)]]*(1-BanHang[[#This Row],[Chiết khấu (%)]]))</f>
        <v>0</v>
      </c>
    </row>
    <row r="54" spans="1:14" x14ac:dyDescent="0.3">
      <c r="A54" t="s">
        <v>87</v>
      </c>
      <c r="B54" s="1">
        <v>46065.71875</v>
      </c>
      <c r="C54" t="str">
        <f>"Tháng "&amp;MONTH(BanHang[[#This Row],[Ngày giờ bán]])</f>
        <v>Tháng 2</v>
      </c>
      <c r="D54" t="s">
        <v>408</v>
      </c>
      <c r="E54" t="s">
        <v>180</v>
      </c>
      <c r="F54" t="s">
        <v>24</v>
      </c>
      <c r="G54" t="s">
        <v>108</v>
      </c>
      <c r="H54" t="s">
        <v>79</v>
      </c>
      <c r="I54" s="2">
        <v>218.9</v>
      </c>
      <c r="J54" s="2">
        <v>23.1</v>
      </c>
      <c r="K54" s="3">
        <f>BanHang[[#This Row],[Diện tích (m²)]]*BanHang[[#This Row],[Đơn giá (trđ/m²)]]</f>
        <v>5056.59</v>
      </c>
      <c r="L54" s="4">
        <v>0</v>
      </c>
      <c r="M54" t="s">
        <v>53</v>
      </c>
      <c r="N54" s="3">
        <f>IF(BanHang[[#This Row],[Trạng thái]]="Huỷ cọc",0,BanHang[[#This Row],[Giá trị hợp đồng (trđ)]]*(1-BanHang[[#This Row],[Chiết khấu (%)]]))</f>
        <v>5056.59</v>
      </c>
    </row>
    <row r="55" spans="1:14" x14ac:dyDescent="0.3">
      <c r="A55" t="s">
        <v>88</v>
      </c>
      <c r="B55" s="1">
        <v>46066.791666666664</v>
      </c>
      <c r="C55" t="str">
        <f>"Tháng "&amp;MONTH(BanHang[[#This Row],[Ngày giờ bán]])</f>
        <v>Tháng 2</v>
      </c>
      <c r="D55" t="s">
        <v>101</v>
      </c>
      <c r="E55" t="s">
        <v>50</v>
      </c>
      <c r="F55" t="s">
        <v>24</v>
      </c>
      <c r="G55" t="s">
        <v>108</v>
      </c>
      <c r="H55" t="s">
        <v>109</v>
      </c>
      <c r="I55" s="2">
        <v>88.8</v>
      </c>
      <c r="J55" s="2">
        <v>53.4</v>
      </c>
      <c r="K55" s="3">
        <f>BanHang[[#This Row],[Diện tích (m²)]]*BanHang[[#This Row],[Đơn giá (trđ/m²)]]</f>
        <v>4741.92</v>
      </c>
      <c r="L55" s="4">
        <v>0</v>
      </c>
      <c r="M55" t="s">
        <v>53</v>
      </c>
      <c r="N55" s="3">
        <f>IF(BanHang[[#This Row],[Trạng thái]]="Huỷ cọc",0,BanHang[[#This Row],[Giá trị hợp đồng (trđ)]]*(1-BanHang[[#This Row],[Chiết khấu (%)]]))</f>
        <v>4741.92</v>
      </c>
    </row>
    <row r="56" spans="1:14" x14ac:dyDescent="0.3">
      <c r="A56" t="s">
        <v>89</v>
      </c>
      <c r="B56" s="1">
        <v>46066.8125</v>
      </c>
      <c r="C56" t="str">
        <f>"Tháng "&amp;MONTH(BanHang[[#This Row],[Ngày giờ bán]])</f>
        <v>Tháng 2</v>
      </c>
      <c r="D56" t="s">
        <v>76</v>
      </c>
      <c r="E56" t="s">
        <v>50</v>
      </c>
      <c r="F56" t="s">
        <v>156</v>
      </c>
      <c r="G56" t="s">
        <v>18</v>
      </c>
      <c r="H56" t="s">
        <v>26</v>
      </c>
      <c r="I56" s="2">
        <v>82.4</v>
      </c>
      <c r="J56" s="2">
        <v>55.9</v>
      </c>
      <c r="K56" s="3">
        <f>BanHang[[#This Row],[Diện tích (m²)]]*BanHang[[#This Row],[Đơn giá (trđ/m²)]]</f>
        <v>4606.16</v>
      </c>
      <c r="L56" s="4">
        <v>0.02</v>
      </c>
      <c r="M56" t="s">
        <v>27</v>
      </c>
      <c r="N56" s="3">
        <f>IF(BanHang[[#This Row],[Trạng thái]]="Huỷ cọc",0,BanHang[[#This Row],[Giá trị hợp đồng (trđ)]]*(1-BanHang[[#This Row],[Chiết khấu (%)]]))</f>
        <v>4514.0367999999999</v>
      </c>
    </row>
    <row r="57" spans="1:14" x14ac:dyDescent="0.3">
      <c r="A57" t="s">
        <v>90</v>
      </c>
      <c r="B57" s="1">
        <v>46066.8125</v>
      </c>
      <c r="C57" t="str">
        <f>"Tháng "&amp;MONTH(BanHang[[#This Row],[Ngày giờ bán]])</f>
        <v>Tháng 2</v>
      </c>
      <c r="D57" t="s">
        <v>225</v>
      </c>
      <c r="E57" t="s">
        <v>180</v>
      </c>
      <c r="F57" t="s">
        <v>156</v>
      </c>
      <c r="G57" t="s">
        <v>51</v>
      </c>
      <c r="H57" t="s">
        <v>109</v>
      </c>
      <c r="I57" s="2">
        <v>206</v>
      </c>
      <c r="J57" s="2">
        <v>55</v>
      </c>
      <c r="K57" s="3">
        <f>BanHang[[#This Row],[Diện tích (m²)]]*BanHang[[#This Row],[Đơn giá (trđ/m²)]]</f>
        <v>11330</v>
      </c>
      <c r="L57" s="4">
        <v>0.01</v>
      </c>
      <c r="M57" t="s">
        <v>27</v>
      </c>
      <c r="N57" s="3">
        <f>IF(BanHang[[#This Row],[Trạng thái]]="Huỷ cọc",0,BanHang[[#This Row],[Giá trị hợp đồng (trđ)]]*(1-BanHang[[#This Row],[Chiết khấu (%)]]))</f>
        <v>11216.7</v>
      </c>
    </row>
    <row r="58" spans="1:14" x14ac:dyDescent="0.3">
      <c r="A58" t="s">
        <v>91</v>
      </c>
      <c r="B58" s="1">
        <v>46067.8125</v>
      </c>
      <c r="C58" t="str">
        <f>"Tháng "&amp;MONTH(BanHang[[#This Row],[Ngày giờ bán]])</f>
        <v>Tháng 2</v>
      </c>
      <c r="D58" t="s">
        <v>179</v>
      </c>
      <c r="E58" t="s">
        <v>180</v>
      </c>
      <c r="F58" t="s">
        <v>103</v>
      </c>
      <c r="G58" t="s">
        <v>51</v>
      </c>
      <c r="H58" t="s">
        <v>134</v>
      </c>
      <c r="I58" s="2">
        <v>167.1</v>
      </c>
      <c r="J58" s="2">
        <v>32</v>
      </c>
      <c r="K58" s="3">
        <f>BanHang[[#This Row],[Diện tích (m²)]]*BanHang[[#This Row],[Đơn giá (trđ/m²)]]</f>
        <v>5347.2</v>
      </c>
      <c r="L58" s="4">
        <v>0.03</v>
      </c>
      <c r="M58" t="s">
        <v>53</v>
      </c>
      <c r="N58" s="3">
        <f>IF(BanHang[[#This Row],[Trạng thái]]="Huỷ cọc",0,BanHang[[#This Row],[Giá trị hợp đồng (trđ)]]*(1-BanHang[[#This Row],[Chiết khấu (%)]]))</f>
        <v>5186.7839999999997</v>
      </c>
    </row>
    <row r="59" spans="1:14" x14ac:dyDescent="0.3">
      <c r="A59" t="s">
        <v>92</v>
      </c>
      <c r="B59" s="1">
        <v>46068.583333333336</v>
      </c>
      <c r="C59" t="str">
        <f>"Tháng "&amp;MONTH(BanHang[[#This Row],[Ngày giờ bán]])</f>
        <v>Tháng 2</v>
      </c>
      <c r="D59" t="s">
        <v>76</v>
      </c>
      <c r="E59" t="s">
        <v>50</v>
      </c>
      <c r="F59" t="s">
        <v>156</v>
      </c>
      <c r="G59" t="s">
        <v>51</v>
      </c>
      <c r="H59" t="s">
        <v>26</v>
      </c>
      <c r="I59" s="2">
        <v>90.9</v>
      </c>
      <c r="J59" s="2">
        <v>57.4</v>
      </c>
      <c r="K59" s="3">
        <f>BanHang[[#This Row],[Diện tích (m²)]]*BanHang[[#This Row],[Đơn giá (trđ/m²)]]</f>
        <v>5217.66</v>
      </c>
      <c r="L59" s="4">
        <v>0.08</v>
      </c>
      <c r="M59" t="s">
        <v>53</v>
      </c>
      <c r="N59" s="3">
        <f>IF(BanHang[[#This Row],[Trạng thái]]="Huỷ cọc",0,BanHang[[#This Row],[Giá trị hợp đồng (trđ)]]*(1-BanHang[[#This Row],[Chiết khấu (%)]]))</f>
        <v>4800.2471999999998</v>
      </c>
    </row>
    <row r="60" spans="1:14" x14ac:dyDescent="0.3">
      <c r="A60" t="s">
        <v>93</v>
      </c>
      <c r="B60" s="1">
        <v>46069.614583333336</v>
      </c>
      <c r="C60" t="str">
        <f>"Tháng "&amp;MONTH(BanHang[[#This Row],[Ngày giờ bán]])</f>
        <v>Tháng 2</v>
      </c>
      <c r="D60" t="s">
        <v>15</v>
      </c>
      <c r="E60" t="s">
        <v>16</v>
      </c>
      <c r="F60" t="s">
        <v>24</v>
      </c>
      <c r="G60" t="s">
        <v>51</v>
      </c>
      <c r="H60" t="s">
        <v>19</v>
      </c>
      <c r="I60" s="2">
        <v>221.1</v>
      </c>
      <c r="J60" s="2">
        <v>159.69999999999999</v>
      </c>
      <c r="K60" s="3">
        <f>BanHang[[#This Row],[Diện tích (m²)]]*BanHang[[#This Row],[Đơn giá (trđ/m²)]]</f>
        <v>35309.67</v>
      </c>
      <c r="L60" s="4">
        <v>0</v>
      </c>
      <c r="M60" t="s">
        <v>27</v>
      </c>
      <c r="N60" s="3">
        <f>IF(BanHang[[#This Row],[Trạng thái]]="Huỷ cọc",0,BanHang[[#This Row],[Giá trị hợp đồng (trđ)]]*(1-BanHang[[#This Row],[Chiết khấu (%)]]))</f>
        <v>35309.67</v>
      </c>
    </row>
    <row r="61" spans="1:14" x14ac:dyDescent="0.3">
      <c r="A61" t="s">
        <v>94</v>
      </c>
      <c r="B61" s="1">
        <v>46071.458333333336</v>
      </c>
      <c r="C61" t="str">
        <f>"Tháng "&amp;MONTH(BanHang[[#This Row],[Ngày giờ bán]])</f>
        <v>Tháng 2</v>
      </c>
      <c r="D61" t="s">
        <v>76</v>
      </c>
      <c r="E61" t="s">
        <v>50</v>
      </c>
      <c r="F61" t="s">
        <v>156</v>
      </c>
      <c r="G61" t="s">
        <v>78</v>
      </c>
      <c r="H61" t="s">
        <v>26</v>
      </c>
      <c r="I61" s="2">
        <v>61.7</v>
      </c>
      <c r="J61" s="2">
        <v>52</v>
      </c>
      <c r="K61" s="3">
        <f>BanHang[[#This Row],[Diện tích (m²)]]*BanHang[[#This Row],[Đơn giá (trđ/m²)]]</f>
        <v>3208.4</v>
      </c>
      <c r="L61" s="4">
        <v>0.01</v>
      </c>
      <c r="M61" t="s">
        <v>53</v>
      </c>
      <c r="N61" s="3">
        <f>IF(BanHang[[#This Row],[Trạng thái]]="Huỷ cọc",0,BanHang[[#This Row],[Giá trị hợp đồng (trđ)]]*(1-BanHang[[#This Row],[Chiết khấu (%)]]))</f>
        <v>3176.3160000000003</v>
      </c>
    </row>
    <row r="62" spans="1:14" x14ac:dyDescent="0.3">
      <c r="A62" t="s">
        <v>95</v>
      </c>
      <c r="B62" s="1">
        <v>46071.635416666664</v>
      </c>
      <c r="C62" t="str">
        <f>"Tháng "&amp;MONTH(BanHang[[#This Row],[Ngày giờ bán]])</f>
        <v>Tháng 2</v>
      </c>
      <c r="D62" t="s">
        <v>479</v>
      </c>
      <c r="E62" t="s">
        <v>23</v>
      </c>
      <c r="F62" t="s">
        <v>103</v>
      </c>
      <c r="G62" t="s">
        <v>51</v>
      </c>
      <c r="H62" t="s">
        <v>406</v>
      </c>
      <c r="I62" s="2">
        <v>135.5</v>
      </c>
      <c r="J62" s="2">
        <v>120</v>
      </c>
      <c r="K62" s="3">
        <f>BanHang[[#This Row],[Diện tích (m²)]]*BanHang[[#This Row],[Đơn giá (trđ/m²)]]</f>
        <v>16260</v>
      </c>
      <c r="L62" s="4">
        <v>0.01</v>
      </c>
      <c r="M62" t="s">
        <v>27</v>
      </c>
      <c r="N62" s="3">
        <f>IF(BanHang[[#This Row],[Trạng thái]]="Huỷ cọc",0,BanHang[[#This Row],[Giá trị hợp đồng (trđ)]]*(1-BanHang[[#This Row],[Chiết khấu (%)]]))</f>
        <v>16097.4</v>
      </c>
    </row>
    <row r="63" spans="1:14" x14ac:dyDescent="0.3">
      <c r="A63" t="s">
        <v>96</v>
      </c>
      <c r="B63" s="1">
        <v>46072.510416666664</v>
      </c>
      <c r="C63" t="str">
        <f>"Tháng "&amp;MONTH(BanHang[[#This Row],[Ngày giờ bán]])</f>
        <v>Tháng 2</v>
      </c>
      <c r="D63" t="s">
        <v>479</v>
      </c>
      <c r="E63" t="s">
        <v>23</v>
      </c>
      <c r="F63" t="s">
        <v>107</v>
      </c>
      <c r="G63" t="s">
        <v>78</v>
      </c>
      <c r="H63" t="s">
        <v>52</v>
      </c>
      <c r="I63" s="2">
        <v>92</v>
      </c>
      <c r="J63" s="2">
        <v>129.6</v>
      </c>
      <c r="K63" s="3">
        <f>BanHang[[#This Row],[Diện tích (m²)]]*BanHang[[#This Row],[Đơn giá (trđ/m²)]]</f>
        <v>11923.199999999999</v>
      </c>
      <c r="L63" s="4">
        <v>0.01</v>
      </c>
      <c r="M63" t="s">
        <v>53</v>
      </c>
      <c r="N63" s="3">
        <f>IF(BanHang[[#This Row],[Trạng thái]]="Huỷ cọc",0,BanHang[[#This Row],[Giá trị hợp đồng (trđ)]]*(1-BanHang[[#This Row],[Chiết khấu (%)]]))</f>
        <v>11803.967999999999</v>
      </c>
    </row>
    <row r="64" spans="1:14" x14ac:dyDescent="0.3">
      <c r="A64" t="s">
        <v>97</v>
      </c>
      <c r="B64" s="1">
        <v>46073.8125</v>
      </c>
      <c r="C64" t="str">
        <f>"Tháng "&amp;MONTH(BanHang[[#This Row],[Ngày giờ bán]])</f>
        <v>Tháng 2</v>
      </c>
      <c r="D64" t="s">
        <v>15</v>
      </c>
      <c r="E64" t="s">
        <v>16</v>
      </c>
      <c r="F64" t="s">
        <v>77</v>
      </c>
      <c r="G64" t="s">
        <v>51</v>
      </c>
      <c r="H64" t="s">
        <v>109</v>
      </c>
      <c r="I64" s="2">
        <v>345.2</v>
      </c>
      <c r="J64" s="2">
        <v>176.8</v>
      </c>
      <c r="K64" s="3">
        <f>BanHang[[#This Row],[Diện tích (m²)]]*BanHang[[#This Row],[Đơn giá (trđ/m²)]]</f>
        <v>61031.360000000001</v>
      </c>
      <c r="L64" s="4">
        <v>0</v>
      </c>
      <c r="M64" t="s">
        <v>53</v>
      </c>
      <c r="N64" s="3">
        <f>IF(BanHang[[#This Row],[Trạng thái]]="Huỷ cọc",0,BanHang[[#This Row],[Giá trị hợp đồng (trđ)]]*(1-BanHang[[#This Row],[Chiết khấu (%)]]))</f>
        <v>61031.360000000001</v>
      </c>
    </row>
    <row r="65" spans="1:14" x14ac:dyDescent="0.3">
      <c r="A65" t="s">
        <v>98</v>
      </c>
      <c r="B65" s="1">
        <v>46074.625</v>
      </c>
      <c r="C65" t="str">
        <f>"Tháng "&amp;MONTH(BanHang[[#This Row],[Ngày giờ bán]])</f>
        <v>Tháng 2</v>
      </c>
      <c r="D65" t="s">
        <v>408</v>
      </c>
      <c r="E65" t="s">
        <v>180</v>
      </c>
      <c r="F65" t="s">
        <v>103</v>
      </c>
      <c r="G65" t="s">
        <v>51</v>
      </c>
      <c r="H65" t="s">
        <v>52</v>
      </c>
      <c r="I65" s="2">
        <v>151.9</v>
      </c>
      <c r="J65" s="2">
        <v>38.700000000000003</v>
      </c>
      <c r="K65" s="3">
        <f>BanHang[[#This Row],[Diện tích (m²)]]*BanHang[[#This Row],[Đơn giá (trđ/m²)]]</f>
        <v>5878.5300000000007</v>
      </c>
      <c r="L65" s="4">
        <v>0.03</v>
      </c>
      <c r="M65" t="s">
        <v>27</v>
      </c>
      <c r="N65" s="3">
        <f>IF(BanHang[[#This Row],[Trạng thái]]="Huỷ cọc",0,BanHang[[#This Row],[Giá trị hợp đồng (trđ)]]*(1-BanHang[[#This Row],[Chiết khấu (%)]]))</f>
        <v>5702.1741000000002</v>
      </c>
    </row>
    <row r="66" spans="1:14" x14ac:dyDescent="0.3">
      <c r="A66" t="s">
        <v>99</v>
      </c>
      <c r="B66" s="1">
        <v>46074.729166666672</v>
      </c>
      <c r="C66" t="str">
        <f>"Tháng "&amp;MONTH(BanHang[[#This Row],[Ngày giờ bán]])</f>
        <v>Tháng 2</v>
      </c>
      <c r="D66" t="s">
        <v>408</v>
      </c>
      <c r="E66" t="s">
        <v>180</v>
      </c>
      <c r="F66" t="s">
        <v>103</v>
      </c>
      <c r="G66" t="s">
        <v>51</v>
      </c>
      <c r="H66" t="s">
        <v>134</v>
      </c>
      <c r="I66" s="2">
        <v>156</v>
      </c>
      <c r="J66" s="2">
        <v>28.5</v>
      </c>
      <c r="K66" s="3">
        <f>BanHang[[#This Row],[Diện tích (m²)]]*BanHang[[#This Row],[Đơn giá (trđ/m²)]]</f>
        <v>4446</v>
      </c>
      <c r="L66" s="4">
        <v>0.03</v>
      </c>
      <c r="M66" t="s">
        <v>53</v>
      </c>
      <c r="N66" s="3">
        <f>IF(BanHang[[#This Row],[Trạng thái]]="Huỷ cọc",0,BanHang[[#This Row],[Giá trị hợp đồng (trđ)]]*(1-BanHang[[#This Row],[Chiết khấu (%)]]))</f>
        <v>4312.62</v>
      </c>
    </row>
    <row r="67" spans="1:14" x14ac:dyDescent="0.3">
      <c r="A67" t="s">
        <v>100</v>
      </c>
      <c r="B67" s="1">
        <v>46077.427083333328</v>
      </c>
      <c r="C67" t="str">
        <f>"Tháng "&amp;MONTH(BanHang[[#This Row],[Ngày giờ bán]])</f>
        <v>Tháng 2</v>
      </c>
      <c r="D67" t="s">
        <v>101</v>
      </c>
      <c r="E67" t="s">
        <v>50</v>
      </c>
      <c r="F67" t="s">
        <v>24</v>
      </c>
      <c r="G67" t="s">
        <v>51</v>
      </c>
      <c r="H67" t="s">
        <v>226</v>
      </c>
      <c r="I67" s="2">
        <v>78.099999999999994</v>
      </c>
      <c r="J67" s="2">
        <v>67.3</v>
      </c>
      <c r="K67" s="3">
        <f>BanHang[[#This Row],[Diện tích (m²)]]*BanHang[[#This Row],[Đơn giá (trđ/m²)]]</f>
        <v>5256.1299999999992</v>
      </c>
      <c r="L67" s="4">
        <v>0</v>
      </c>
      <c r="M67" t="s">
        <v>53</v>
      </c>
      <c r="N67" s="3">
        <f>IF(BanHang[[#This Row],[Trạng thái]]="Huỷ cọc",0,BanHang[[#This Row],[Giá trị hợp đồng (trđ)]]*(1-BanHang[[#This Row],[Chiết khấu (%)]]))</f>
        <v>5256.1299999999992</v>
      </c>
    </row>
    <row r="68" spans="1:14" x14ac:dyDescent="0.3">
      <c r="A68" t="s">
        <v>102</v>
      </c>
      <c r="B68" s="1">
        <v>46077.635416666664</v>
      </c>
      <c r="C68" t="str">
        <f>"Tháng "&amp;MONTH(BanHang[[#This Row],[Ngày giờ bán]])</f>
        <v>Tháng 2</v>
      </c>
      <c r="D68" t="s">
        <v>454</v>
      </c>
      <c r="E68" t="s">
        <v>106</v>
      </c>
      <c r="F68" t="s">
        <v>77</v>
      </c>
      <c r="G68" t="s">
        <v>51</v>
      </c>
      <c r="H68" t="s">
        <v>226</v>
      </c>
      <c r="I68" s="2">
        <v>109.2</v>
      </c>
      <c r="J68" s="2">
        <v>139.4</v>
      </c>
      <c r="K68" s="3">
        <f>BanHang[[#This Row],[Diện tích (m²)]]*BanHang[[#This Row],[Đơn giá (trđ/m²)]]</f>
        <v>15222.480000000001</v>
      </c>
      <c r="L68" s="4">
        <v>0.03</v>
      </c>
      <c r="M68" t="s">
        <v>27</v>
      </c>
      <c r="N68" s="3">
        <f>IF(BanHang[[#This Row],[Trạng thái]]="Huỷ cọc",0,BanHang[[#This Row],[Giá trị hợp đồng (trđ)]]*(1-BanHang[[#This Row],[Chiết khấu (%)]]))</f>
        <v>14765.805600000002</v>
      </c>
    </row>
    <row r="69" spans="1:14" x14ac:dyDescent="0.3">
      <c r="A69" t="s">
        <v>104</v>
      </c>
      <c r="B69" s="1">
        <v>46077.729166666672</v>
      </c>
      <c r="C69" t="str">
        <f>"Tháng "&amp;MONTH(BanHang[[#This Row],[Ngày giờ bán]])</f>
        <v>Tháng 2</v>
      </c>
      <c r="D69" t="s">
        <v>477</v>
      </c>
      <c r="E69" t="s">
        <v>106</v>
      </c>
      <c r="F69" t="s">
        <v>107</v>
      </c>
      <c r="G69" t="s">
        <v>51</v>
      </c>
      <c r="H69" t="s">
        <v>226</v>
      </c>
      <c r="I69" s="2">
        <v>124.6</v>
      </c>
      <c r="J69" s="2">
        <v>156.6</v>
      </c>
      <c r="K69" s="3">
        <f>BanHang[[#This Row],[Diện tích (m²)]]*BanHang[[#This Row],[Đơn giá (trđ/m²)]]</f>
        <v>19512.359999999997</v>
      </c>
      <c r="L69" s="4">
        <v>0.03</v>
      </c>
      <c r="M69" t="s">
        <v>53</v>
      </c>
      <c r="N69" s="3">
        <f>IF(BanHang[[#This Row],[Trạng thái]]="Huỷ cọc",0,BanHang[[#This Row],[Giá trị hợp đồng (trđ)]]*(1-BanHang[[#This Row],[Chiết khấu (%)]]))</f>
        <v>18926.989199999996</v>
      </c>
    </row>
    <row r="70" spans="1:14" x14ac:dyDescent="0.3">
      <c r="A70" t="s">
        <v>110</v>
      </c>
      <c r="B70" s="1">
        <v>46078.510416666664</v>
      </c>
      <c r="C70" t="str">
        <f>"Tháng "&amp;MONTH(BanHang[[#This Row],[Ngày giờ bán]])</f>
        <v>Tháng 2</v>
      </c>
      <c r="D70" t="s">
        <v>225</v>
      </c>
      <c r="E70" t="s">
        <v>180</v>
      </c>
      <c r="F70" t="s">
        <v>156</v>
      </c>
      <c r="G70" t="s">
        <v>51</v>
      </c>
      <c r="H70" t="s">
        <v>134</v>
      </c>
      <c r="I70" s="2">
        <v>167.6</v>
      </c>
      <c r="J70" s="2">
        <v>28.4</v>
      </c>
      <c r="K70" s="3">
        <f>BanHang[[#This Row],[Diện tích (m²)]]*BanHang[[#This Row],[Đơn giá (trđ/m²)]]</f>
        <v>4759.8399999999992</v>
      </c>
      <c r="L70" s="4">
        <v>0</v>
      </c>
      <c r="M70" t="s">
        <v>27</v>
      </c>
      <c r="N70" s="3">
        <f>IF(BanHang[[#This Row],[Trạng thái]]="Huỷ cọc",0,BanHang[[#This Row],[Giá trị hợp đồng (trđ)]]*(1-BanHang[[#This Row],[Chiết khấu (%)]]))</f>
        <v>4759.8399999999992</v>
      </c>
    </row>
    <row r="71" spans="1:14" x14ac:dyDescent="0.3">
      <c r="A71" t="s">
        <v>112</v>
      </c>
      <c r="B71" s="1">
        <v>46079.604166666672</v>
      </c>
      <c r="C71" t="str">
        <f>"Tháng "&amp;MONTH(BanHang[[#This Row],[Ngày giờ bán]])</f>
        <v>Tháng 2</v>
      </c>
      <c r="D71" t="s">
        <v>479</v>
      </c>
      <c r="E71" t="s">
        <v>23</v>
      </c>
      <c r="F71" t="s">
        <v>77</v>
      </c>
      <c r="G71" t="s">
        <v>25</v>
      </c>
      <c r="H71" t="s">
        <v>134</v>
      </c>
      <c r="I71" s="2">
        <v>138</v>
      </c>
      <c r="J71" s="2">
        <v>82.9</v>
      </c>
      <c r="K71" s="3">
        <f>BanHang[[#This Row],[Diện tích (m²)]]*BanHang[[#This Row],[Đơn giá (trđ/m²)]]</f>
        <v>11440.2</v>
      </c>
      <c r="L71" s="4">
        <v>0</v>
      </c>
      <c r="M71" t="s">
        <v>53</v>
      </c>
      <c r="N71" s="3">
        <f>IF(BanHang[[#This Row],[Trạng thái]]="Huỷ cọc",0,BanHang[[#This Row],[Giá trị hợp đồng (trđ)]]*(1-BanHang[[#This Row],[Chiết khấu (%)]]))</f>
        <v>11440.2</v>
      </c>
    </row>
    <row r="72" spans="1:14" x14ac:dyDescent="0.3">
      <c r="A72" t="s">
        <v>113</v>
      </c>
      <c r="B72" s="1">
        <v>46080.385416666664</v>
      </c>
      <c r="C72" t="str">
        <f>"Tháng "&amp;MONTH(BanHang[[#This Row],[Ngày giờ bán]])</f>
        <v>Tháng 2</v>
      </c>
      <c r="D72" t="s">
        <v>76</v>
      </c>
      <c r="E72" t="s">
        <v>50</v>
      </c>
      <c r="F72" t="s">
        <v>24</v>
      </c>
      <c r="G72" t="s">
        <v>18</v>
      </c>
      <c r="H72" t="s">
        <v>109</v>
      </c>
      <c r="I72" s="2">
        <v>73.599999999999994</v>
      </c>
      <c r="J72" s="2">
        <v>43.7</v>
      </c>
      <c r="K72" s="3">
        <f>BanHang[[#This Row],[Diện tích (m²)]]*BanHang[[#This Row],[Đơn giá (trđ/m²)]]</f>
        <v>3216.32</v>
      </c>
      <c r="L72" s="4">
        <v>0.05</v>
      </c>
      <c r="M72" t="s">
        <v>53</v>
      </c>
      <c r="N72" s="3">
        <f>IF(BanHang[[#This Row],[Trạng thái]]="Huỷ cọc",0,BanHang[[#This Row],[Giá trị hợp đồng (trđ)]]*(1-BanHang[[#This Row],[Chiết khấu (%)]]))</f>
        <v>3055.5039999999999</v>
      </c>
    </row>
    <row r="73" spans="1:14" x14ac:dyDescent="0.3">
      <c r="A73" t="s">
        <v>114</v>
      </c>
      <c r="B73" s="1">
        <v>46081.34375</v>
      </c>
      <c r="C73" t="str">
        <f>"Tháng "&amp;MONTH(BanHang[[#This Row],[Ngày giờ bán]])</f>
        <v>Tháng 2</v>
      </c>
      <c r="D73" t="s">
        <v>479</v>
      </c>
      <c r="E73" t="s">
        <v>23</v>
      </c>
      <c r="F73" t="s">
        <v>107</v>
      </c>
      <c r="G73" t="s">
        <v>108</v>
      </c>
      <c r="H73" t="s">
        <v>476</v>
      </c>
      <c r="I73" s="2">
        <v>156.6</v>
      </c>
      <c r="J73" s="2">
        <v>101.9</v>
      </c>
      <c r="K73" s="3">
        <f>BanHang[[#This Row],[Diện tích (m²)]]*BanHang[[#This Row],[Đơn giá (trđ/m²)]]</f>
        <v>15957.54</v>
      </c>
      <c r="L73" s="4">
        <v>0.03</v>
      </c>
      <c r="M73" t="s">
        <v>53</v>
      </c>
      <c r="N73" s="3">
        <f>IF(BanHang[[#This Row],[Trạng thái]]="Huỷ cọc",0,BanHang[[#This Row],[Giá trị hợp đồng (trđ)]]*(1-BanHang[[#This Row],[Chiết khấu (%)]]))</f>
        <v>15478.8138</v>
      </c>
    </row>
    <row r="74" spans="1:14" x14ac:dyDescent="0.3">
      <c r="A74" t="s">
        <v>115</v>
      </c>
      <c r="B74" s="1">
        <v>46082.625</v>
      </c>
      <c r="C74" t="str">
        <f>"Tháng "&amp;MONTH(BanHang[[#This Row],[Ngày giờ bán]])</f>
        <v>Tháng 3</v>
      </c>
      <c r="D74" t="s">
        <v>454</v>
      </c>
      <c r="E74" t="s">
        <v>106</v>
      </c>
      <c r="F74" t="s">
        <v>107</v>
      </c>
      <c r="G74" t="s">
        <v>51</v>
      </c>
      <c r="H74" t="s">
        <v>19</v>
      </c>
      <c r="I74" s="2">
        <v>118.8</v>
      </c>
      <c r="J74" s="2">
        <v>166.9</v>
      </c>
      <c r="K74" s="3">
        <f>BanHang[[#This Row],[Diện tích (m²)]]*BanHang[[#This Row],[Đơn giá (trđ/m²)]]</f>
        <v>19827.72</v>
      </c>
      <c r="L74" s="4">
        <v>0.03</v>
      </c>
      <c r="M74" t="s">
        <v>27</v>
      </c>
      <c r="N74" s="3">
        <f>IF(BanHang[[#This Row],[Trạng thái]]="Huỷ cọc",0,BanHang[[#This Row],[Giá trị hợp đồng (trđ)]]*(1-BanHang[[#This Row],[Chiết khấu (%)]]))</f>
        <v>19232.8884</v>
      </c>
    </row>
    <row r="75" spans="1:14" x14ac:dyDescent="0.3">
      <c r="A75" t="s">
        <v>116</v>
      </c>
      <c r="B75" s="1">
        <v>46082.65625</v>
      </c>
      <c r="C75" t="str">
        <f>"Tháng "&amp;MONTH(BanHang[[#This Row],[Ngày giờ bán]])</f>
        <v>Tháng 3</v>
      </c>
      <c r="D75" t="s">
        <v>179</v>
      </c>
      <c r="E75" t="s">
        <v>180</v>
      </c>
      <c r="F75" t="s">
        <v>107</v>
      </c>
      <c r="G75" t="s">
        <v>108</v>
      </c>
      <c r="H75" t="s">
        <v>134</v>
      </c>
      <c r="I75" s="2">
        <v>82.4</v>
      </c>
      <c r="J75" s="2">
        <v>45.7</v>
      </c>
      <c r="K75" s="3">
        <f>BanHang[[#This Row],[Diện tích (m²)]]*BanHang[[#This Row],[Đơn giá (trđ/m²)]]</f>
        <v>3765.6800000000003</v>
      </c>
      <c r="L75" s="4">
        <v>7.0000000000000007E-2</v>
      </c>
      <c r="M75" t="s">
        <v>53</v>
      </c>
      <c r="N75" s="3">
        <f>IF(BanHang[[#This Row],[Trạng thái]]="Huỷ cọc",0,BanHang[[#This Row],[Giá trị hợp đồng (trđ)]]*(1-BanHang[[#This Row],[Chiết khấu (%)]]))</f>
        <v>3502.0824000000002</v>
      </c>
    </row>
    <row r="76" spans="1:14" x14ac:dyDescent="0.3">
      <c r="A76" t="s">
        <v>117</v>
      </c>
      <c r="B76" s="1">
        <v>46082.697916666664</v>
      </c>
      <c r="C76" t="str">
        <f>"Tháng "&amp;MONTH(BanHang[[#This Row],[Ngày giờ bán]])</f>
        <v>Tháng 3</v>
      </c>
      <c r="D76" t="s">
        <v>225</v>
      </c>
      <c r="E76" t="s">
        <v>180</v>
      </c>
      <c r="F76" t="s">
        <v>156</v>
      </c>
      <c r="G76" t="s">
        <v>108</v>
      </c>
      <c r="H76" t="s">
        <v>406</v>
      </c>
      <c r="I76" s="2">
        <v>198.9</v>
      </c>
      <c r="J76" s="2">
        <v>40</v>
      </c>
      <c r="K76" s="3">
        <f>BanHang[[#This Row],[Diện tích (m²)]]*BanHang[[#This Row],[Đơn giá (trđ/m²)]]</f>
        <v>7956</v>
      </c>
      <c r="L76" s="4">
        <v>0.08</v>
      </c>
      <c r="M76" t="s">
        <v>53</v>
      </c>
      <c r="N76" s="3">
        <f>IF(BanHang[[#This Row],[Trạng thái]]="Huỷ cọc",0,BanHang[[#This Row],[Giá trị hợp đồng (trđ)]]*(1-BanHang[[#This Row],[Chiết khấu (%)]]))</f>
        <v>7319.52</v>
      </c>
    </row>
    <row r="77" spans="1:14" x14ac:dyDescent="0.3">
      <c r="A77" t="s">
        <v>118</v>
      </c>
      <c r="B77" s="1">
        <v>46083.46875</v>
      </c>
      <c r="C77" t="str">
        <f>"Tháng "&amp;MONTH(BanHang[[#This Row],[Ngày giờ bán]])</f>
        <v>Tháng 3</v>
      </c>
      <c r="D77" t="s">
        <v>454</v>
      </c>
      <c r="E77" t="s">
        <v>106</v>
      </c>
      <c r="F77" t="s">
        <v>103</v>
      </c>
      <c r="G77" t="s">
        <v>25</v>
      </c>
      <c r="H77" t="s">
        <v>476</v>
      </c>
      <c r="I77" s="2">
        <v>172</v>
      </c>
      <c r="J77" s="2">
        <v>145.9</v>
      </c>
      <c r="K77" s="3">
        <f>BanHang[[#This Row],[Diện tích (m²)]]*BanHang[[#This Row],[Đơn giá (trđ/m²)]]</f>
        <v>25094.799999999999</v>
      </c>
      <c r="L77" s="4">
        <v>0.02</v>
      </c>
      <c r="M77" t="s">
        <v>53</v>
      </c>
      <c r="N77" s="3">
        <f>IF(BanHang[[#This Row],[Trạng thái]]="Huỷ cọc",0,BanHang[[#This Row],[Giá trị hợp đồng (trđ)]]*(1-BanHang[[#This Row],[Chiết khấu (%)]]))</f>
        <v>24592.903999999999</v>
      </c>
    </row>
    <row r="78" spans="1:14" x14ac:dyDescent="0.3">
      <c r="A78" t="s">
        <v>119</v>
      </c>
      <c r="B78" s="1">
        <v>46083.572916666664</v>
      </c>
      <c r="C78" t="str">
        <f>"Tháng "&amp;MONTH(BanHang[[#This Row],[Ngày giờ bán]])</f>
        <v>Tháng 3</v>
      </c>
      <c r="D78" t="s">
        <v>477</v>
      </c>
      <c r="E78" t="s">
        <v>106</v>
      </c>
      <c r="F78" t="s">
        <v>107</v>
      </c>
      <c r="G78" t="s">
        <v>51</v>
      </c>
      <c r="H78" t="s">
        <v>52</v>
      </c>
      <c r="I78" s="2">
        <v>162.30000000000001</v>
      </c>
      <c r="J78" s="2">
        <v>152</v>
      </c>
      <c r="K78" s="3">
        <f>BanHang[[#This Row],[Diện tích (m²)]]*BanHang[[#This Row],[Đơn giá (trđ/m²)]]</f>
        <v>24669.600000000002</v>
      </c>
      <c r="L78" s="4">
        <v>0.08</v>
      </c>
      <c r="M78" t="s">
        <v>53</v>
      </c>
      <c r="N78" s="3">
        <f>IF(BanHang[[#This Row],[Trạng thái]]="Huỷ cọc",0,BanHang[[#This Row],[Giá trị hợp đồng (trđ)]]*(1-BanHang[[#This Row],[Chiết khấu (%)]]))</f>
        <v>22696.032000000003</v>
      </c>
    </row>
    <row r="79" spans="1:14" x14ac:dyDescent="0.3">
      <c r="A79" t="s">
        <v>120</v>
      </c>
      <c r="B79" s="1">
        <v>46083.645833333336</v>
      </c>
      <c r="C79" t="str">
        <f>"Tháng "&amp;MONTH(BanHang[[#This Row],[Ngày giờ bán]])</f>
        <v>Tháng 3</v>
      </c>
      <c r="D79" t="s">
        <v>225</v>
      </c>
      <c r="E79" t="s">
        <v>180</v>
      </c>
      <c r="F79" t="s">
        <v>156</v>
      </c>
      <c r="G79" t="s">
        <v>18</v>
      </c>
      <c r="H79" t="s">
        <v>406</v>
      </c>
      <c r="I79" s="2">
        <v>140.5</v>
      </c>
      <c r="J79" s="2">
        <v>43.4</v>
      </c>
      <c r="K79" s="3">
        <f>BanHang[[#This Row],[Diện tích (m²)]]*BanHang[[#This Row],[Đơn giá (trđ/m²)]]</f>
        <v>6097.7</v>
      </c>
      <c r="L79" s="4">
        <v>7.0000000000000007E-2</v>
      </c>
      <c r="M79" t="s">
        <v>53</v>
      </c>
      <c r="N79" s="3">
        <f>IF(BanHang[[#This Row],[Trạng thái]]="Huỷ cọc",0,BanHang[[#This Row],[Giá trị hợp đồng (trđ)]]*(1-BanHang[[#This Row],[Chiết khấu (%)]]))</f>
        <v>5670.8609999999999</v>
      </c>
    </row>
    <row r="80" spans="1:14" x14ac:dyDescent="0.3">
      <c r="A80" t="s">
        <v>121</v>
      </c>
      <c r="B80" s="1">
        <v>46083.770833333336</v>
      </c>
      <c r="C80" t="str">
        <f>"Tháng "&amp;MONTH(BanHang[[#This Row],[Ngày giờ bán]])</f>
        <v>Tháng 3</v>
      </c>
      <c r="D80" t="s">
        <v>225</v>
      </c>
      <c r="E80" t="s">
        <v>180</v>
      </c>
      <c r="F80" t="s">
        <v>24</v>
      </c>
      <c r="G80" t="s">
        <v>78</v>
      </c>
      <c r="H80" t="s">
        <v>406</v>
      </c>
      <c r="I80" s="2">
        <v>212.1</v>
      </c>
      <c r="J80" s="2">
        <v>23.2</v>
      </c>
      <c r="K80" s="3">
        <f>BanHang[[#This Row],[Diện tích (m²)]]*BanHang[[#This Row],[Đơn giá (trđ/m²)]]</f>
        <v>4920.7199999999993</v>
      </c>
      <c r="L80" s="4">
        <v>0.02</v>
      </c>
      <c r="M80" t="s">
        <v>53</v>
      </c>
      <c r="N80" s="3">
        <f>IF(BanHang[[#This Row],[Trạng thái]]="Huỷ cọc",0,BanHang[[#This Row],[Giá trị hợp đồng (trđ)]]*(1-BanHang[[#This Row],[Chiết khấu (%)]]))</f>
        <v>4822.3055999999997</v>
      </c>
    </row>
    <row r="81" spans="1:14" x14ac:dyDescent="0.3">
      <c r="A81" t="s">
        <v>122</v>
      </c>
      <c r="B81" s="1">
        <v>46084.427083333328</v>
      </c>
      <c r="C81" t="str">
        <f>"Tháng "&amp;MONTH(BanHang[[#This Row],[Ngày giờ bán]])</f>
        <v>Tháng 3</v>
      </c>
      <c r="D81" t="s">
        <v>179</v>
      </c>
      <c r="E81" t="s">
        <v>180</v>
      </c>
      <c r="F81" t="s">
        <v>77</v>
      </c>
      <c r="G81" t="s">
        <v>51</v>
      </c>
      <c r="H81" t="s">
        <v>406</v>
      </c>
      <c r="I81" s="2">
        <v>205.4</v>
      </c>
      <c r="J81" s="2">
        <v>22.4</v>
      </c>
      <c r="K81" s="3">
        <f>BanHang[[#This Row],[Diện tích (m²)]]*BanHang[[#This Row],[Đơn giá (trđ/m²)]]</f>
        <v>4600.96</v>
      </c>
      <c r="L81" s="4">
        <v>0.05</v>
      </c>
      <c r="M81" t="s">
        <v>27</v>
      </c>
      <c r="N81" s="3">
        <f>IF(BanHang[[#This Row],[Trạng thái]]="Huỷ cọc",0,BanHang[[#This Row],[Giá trị hợp đồng (trđ)]]*(1-BanHang[[#This Row],[Chiết khấu (%)]]))</f>
        <v>4370.9120000000003</v>
      </c>
    </row>
    <row r="82" spans="1:14" x14ac:dyDescent="0.3">
      <c r="A82" t="s">
        <v>123</v>
      </c>
      <c r="B82" s="1">
        <v>46084.65625</v>
      </c>
      <c r="C82" t="str">
        <f>"Tháng "&amp;MONTH(BanHang[[#This Row],[Ngày giờ bán]])</f>
        <v>Tháng 3</v>
      </c>
      <c r="D82" t="s">
        <v>225</v>
      </c>
      <c r="E82" t="s">
        <v>180</v>
      </c>
      <c r="F82" t="s">
        <v>17</v>
      </c>
      <c r="G82" t="s">
        <v>18</v>
      </c>
      <c r="H82" t="s">
        <v>26</v>
      </c>
      <c r="I82" s="2">
        <v>157.6</v>
      </c>
      <c r="J82" s="2">
        <v>54</v>
      </c>
      <c r="K82" s="3">
        <f>BanHang[[#This Row],[Diện tích (m²)]]*BanHang[[#This Row],[Đơn giá (trđ/m²)]]</f>
        <v>8510.4</v>
      </c>
      <c r="L82" s="4">
        <v>0.08</v>
      </c>
      <c r="M82" t="s">
        <v>27</v>
      </c>
      <c r="N82" s="3">
        <f>IF(BanHang[[#This Row],[Trạng thái]]="Huỷ cọc",0,BanHang[[#This Row],[Giá trị hợp đồng (trđ)]]*(1-BanHang[[#This Row],[Chiết khấu (%)]]))</f>
        <v>7829.5680000000002</v>
      </c>
    </row>
    <row r="83" spans="1:14" x14ac:dyDescent="0.3">
      <c r="A83" t="s">
        <v>124</v>
      </c>
      <c r="B83" s="1">
        <v>46086.40625</v>
      </c>
      <c r="C83" t="str">
        <f>"Tháng "&amp;MONTH(BanHang[[#This Row],[Ngày giờ bán]])</f>
        <v>Tháng 3</v>
      </c>
      <c r="D83" t="s">
        <v>22</v>
      </c>
      <c r="E83" t="s">
        <v>23</v>
      </c>
      <c r="F83" t="s">
        <v>107</v>
      </c>
      <c r="G83" t="s">
        <v>108</v>
      </c>
      <c r="H83" t="s">
        <v>157</v>
      </c>
      <c r="I83" s="2">
        <v>144.80000000000001</v>
      </c>
      <c r="J83" s="2">
        <v>131</v>
      </c>
      <c r="K83" s="3">
        <f>BanHang[[#This Row],[Diện tích (m²)]]*BanHang[[#This Row],[Đơn giá (trđ/m²)]]</f>
        <v>18968.800000000003</v>
      </c>
      <c r="L83" s="4">
        <v>0.01</v>
      </c>
      <c r="M83" t="s">
        <v>53</v>
      </c>
      <c r="N83" s="3">
        <f>IF(BanHang[[#This Row],[Trạng thái]]="Huỷ cọc",0,BanHang[[#This Row],[Giá trị hợp đồng (trđ)]]*(1-BanHang[[#This Row],[Chiết khấu (%)]]))</f>
        <v>18779.112000000001</v>
      </c>
    </row>
    <row r="84" spans="1:14" x14ac:dyDescent="0.3">
      <c r="A84" t="s">
        <v>125</v>
      </c>
      <c r="B84" s="1">
        <v>46086.583333333336</v>
      </c>
      <c r="C84" t="str">
        <f>"Tháng "&amp;MONTH(BanHang[[#This Row],[Ngày giờ bán]])</f>
        <v>Tháng 3</v>
      </c>
      <c r="D84" t="s">
        <v>76</v>
      </c>
      <c r="E84" t="s">
        <v>50</v>
      </c>
      <c r="F84" t="s">
        <v>17</v>
      </c>
      <c r="G84" t="s">
        <v>18</v>
      </c>
      <c r="H84" t="s">
        <v>19</v>
      </c>
      <c r="I84" s="2">
        <v>72.2</v>
      </c>
      <c r="J84" s="2">
        <v>66.5</v>
      </c>
      <c r="K84" s="3">
        <f>BanHang[[#This Row],[Diện tích (m²)]]*BanHang[[#This Row],[Đơn giá (trđ/m²)]]</f>
        <v>4801.3</v>
      </c>
      <c r="L84" s="4">
        <v>0.08</v>
      </c>
      <c r="M84" t="s">
        <v>53</v>
      </c>
      <c r="N84" s="3">
        <f>IF(BanHang[[#This Row],[Trạng thái]]="Huỷ cọc",0,BanHang[[#This Row],[Giá trị hợp đồng (trđ)]]*(1-BanHang[[#This Row],[Chiết khấu (%)]]))</f>
        <v>4417.1959999999999</v>
      </c>
    </row>
    <row r="85" spans="1:14" x14ac:dyDescent="0.3">
      <c r="A85" t="s">
        <v>126</v>
      </c>
      <c r="B85" s="1">
        <v>46086.729166666672</v>
      </c>
      <c r="C85" t="str">
        <f>"Tháng "&amp;MONTH(BanHang[[#This Row],[Ngày giờ bán]])</f>
        <v>Tháng 3</v>
      </c>
      <c r="D85" t="s">
        <v>454</v>
      </c>
      <c r="E85" t="s">
        <v>106</v>
      </c>
      <c r="F85" t="s">
        <v>77</v>
      </c>
      <c r="G85" t="s">
        <v>51</v>
      </c>
      <c r="H85" t="s">
        <v>134</v>
      </c>
      <c r="I85" s="2">
        <v>124.2</v>
      </c>
      <c r="J85" s="2">
        <v>171.6</v>
      </c>
      <c r="K85" s="3">
        <f>BanHang[[#This Row],[Diện tích (m²)]]*BanHang[[#This Row],[Đơn giá (trđ/m²)]]</f>
        <v>21312.720000000001</v>
      </c>
      <c r="L85" s="4">
        <v>0</v>
      </c>
      <c r="M85" t="s">
        <v>53</v>
      </c>
      <c r="N85" s="3">
        <f>IF(BanHang[[#This Row],[Trạng thái]]="Huỷ cọc",0,BanHang[[#This Row],[Giá trị hợp đồng (trđ)]]*(1-BanHang[[#This Row],[Chiết khấu (%)]]))</f>
        <v>21312.720000000001</v>
      </c>
    </row>
    <row r="86" spans="1:14" x14ac:dyDescent="0.3">
      <c r="A86" t="s">
        <v>127</v>
      </c>
      <c r="B86" s="1">
        <v>46086.791666666664</v>
      </c>
      <c r="C86" t="str">
        <f>"Tháng "&amp;MONTH(BanHang[[#This Row],[Ngày giờ bán]])</f>
        <v>Tháng 3</v>
      </c>
      <c r="D86" t="s">
        <v>111</v>
      </c>
      <c r="E86" t="s">
        <v>50</v>
      </c>
      <c r="F86" t="s">
        <v>107</v>
      </c>
      <c r="G86" t="s">
        <v>108</v>
      </c>
      <c r="H86" t="s">
        <v>476</v>
      </c>
      <c r="I86" s="2">
        <v>61.4</v>
      </c>
      <c r="J86" s="2">
        <v>45</v>
      </c>
      <c r="K86" s="3">
        <f>BanHang[[#This Row],[Diện tích (m²)]]*BanHang[[#This Row],[Đơn giá (trđ/m²)]]</f>
        <v>2763</v>
      </c>
      <c r="L86" s="4">
        <v>0.01</v>
      </c>
      <c r="M86" t="s">
        <v>53</v>
      </c>
      <c r="N86" s="3">
        <f>IF(BanHang[[#This Row],[Trạng thái]]="Huỷ cọc",0,BanHang[[#This Row],[Giá trị hợp đồng (trđ)]]*(1-BanHang[[#This Row],[Chiết khấu (%)]]))</f>
        <v>2735.37</v>
      </c>
    </row>
    <row r="87" spans="1:14" x14ac:dyDescent="0.3">
      <c r="A87" t="s">
        <v>128</v>
      </c>
      <c r="B87" s="1">
        <v>46087.458333333336</v>
      </c>
      <c r="C87" t="str">
        <f>"Tháng "&amp;MONTH(BanHang[[#This Row],[Ngày giờ bán]])</f>
        <v>Tháng 3</v>
      </c>
      <c r="D87" t="s">
        <v>111</v>
      </c>
      <c r="E87" t="s">
        <v>50</v>
      </c>
      <c r="F87" t="s">
        <v>103</v>
      </c>
      <c r="G87" t="s">
        <v>108</v>
      </c>
      <c r="H87" t="s">
        <v>109</v>
      </c>
      <c r="I87" s="2">
        <v>85.2</v>
      </c>
      <c r="J87" s="2">
        <v>43.8</v>
      </c>
      <c r="K87" s="3">
        <f>BanHang[[#This Row],[Diện tích (m²)]]*BanHang[[#This Row],[Đơn giá (trđ/m²)]]</f>
        <v>3731.7599999999998</v>
      </c>
      <c r="L87" s="4">
        <v>0.01</v>
      </c>
      <c r="M87" t="s">
        <v>27</v>
      </c>
      <c r="N87" s="3">
        <f>IF(BanHang[[#This Row],[Trạng thái]]="Huỷ cọc",0,BanHang[[#This Row],[Giá trị hợp đồng (trđ)]]*(1-BanHang[[#This Row],[Chiết khấu (%)]]))</f>
        <v>3694.4423999999999</v>
      </c>
    </row>
    <row r="88" spans="1:14" x14ac:dyDescent="0.3">
      <c r="A88" t="s">
        <v>129</v>
      </c>
      <c r="B88" s="1">
        <v>46087.677083333328</v>
      </c>
      <c r="C88" t="str">
        <f>"Tháng "&amp;MONTH(BanHang[[#This Row],[Ngày giờ bán]])</f>
        <v>Tháng 3</v>
      </c>
      <c r="D88" t="s">
        <v>225</v>
      </c>
      <c r="E88" t="s">
        <v>180</v>
      </c>
      <c r="F88" t="s">
        <v>24</v>
      </c>
      <c r="G88" t="s">
        <v>18</v>
      </c>
      <c r="H88" t="s">
        <v>19</v>
      </c>
      <c r="I88" s="2">
        <v>189.6</v>
      </c>
      <c r="J88" s="2">
        <v>50.9</v>
      </c>
      <c r="K88" s="3">
        <f>BanHang[[#This Row],[Diện tích (m²)]]*BanHang[[#This Row],[Đơn giá (trđ/m²)]]</f>
        <v>9650.64</v>
      </c>
      <c r="L88" s="4">
        <v>0.01</v>
      </c>
      <c r="M88" t="s">
        <v>27</v>
      </c>
      <c r="N88" s="3">
        <f>IF(BanHang[[#This Row],[Trạng thái]]="Huỷ cọc",0,BanHang[[#This Row],[Giá trị hợp đồng (trđ)]]*(1-BanHang[[#This Row],[Chiết khấu (%)]]))</f>
        <v>9554.1335999999992</v>
      </c>
    </row>
    <row r="89" spans="1:14" x14ac:dyDescent="0.3">
      <c r="A89" t="s">
        <v>130</v>
      </c>
      <c r="B89" s="1">
        <v>46087.75</v>
      </c>
      <c r="C89" t="str">
        <f>"Tháng "&amp;MONTH(BanHang[[#This Row],[Ngày giờ bán]])</f>
        <v>Tháng 3</v>
      </c>
      <c r="D89" t="s">
        <v>49</v>
      </c>
      <c r="E89" t="s">
        <v>50</v>
      </c>
      <c r="F89" t="s">
        <v>77</v>
      </c>
      <c r="G89" t="s">
        <v>108</v>
      </c>
      <c r="H89" t="s">
        <v>79</v>
      </c>
      <c r="I89" s="2">
        <v>83.2</v>
      </c>
      <c r="J89" s="2">
        <v>59.2</v>
      </c>
      <c r="K89" s="3">
        <f>BanHang[[#This Row],[Diện tích (m²)]]*BanHang[[#This Row],[Đơn giá (trđ/m²)]]</f>
        <v>4925.4400000000005</v>
      </c>
      <c r="L89" s="4">
        <v>0.03</v>
      </c>
      <c r="M89" t="s">
        <v>53</v>
      </c>
      <c r="N89" s="3">
        <f>IF(BanHang[[#This Row],[Trạng thái]]="Huỷ cọc",0,BanHang[[#This Row],[Giá trị hợp đồng (trđ)]]*(1-BanHang[[#This Row],[Chiết khấu (%)]]))</f>
        <v>4777.6768000000002</v>
      </c>
    </row>
    <row r="90" spans="1:14" x14ac:dyDescent="0.3">
      <c r="A90" t="s">
        <v>131</v>
      </c>
      <c r="B90" s="1">
        <v>46088.8125</v>
      </c>
      <c r="C90" t="str">
        <f>"Tháng "&amp;MONTH(BanHang[[#This Row],[Ngày giờ bán]])</f>
        <v>Tháng 3</v>
      </c>
      <c r="D90" t="s">
        <v>49</v>
      </c>
      <c r="E90" t="s">
        <v>50</v>
      </c>
      <c r="F90" t="s">
        <v>103</v>
      </c>
      <c r="G90" t="s">
        <v>108</v>
      </c>
      <c r="H90" t="s">
        <v>157</v>
      </c>
      <c r="I90" s="2">
        <v>86</v>
      </c>
      <c r="J90" s="2">
        <v>54.6</v>
      </c>
      <c r="K90" s="3">
        <f>BanHang[[#This Row],[Diện tích (m²)]]*BanHang[[#This Row],[Đơn giá (trđ/m²)]]</f>
        <v>4695.6000000000004</v>
      </c>
      <c r="L90" s="4">
        <v>0.01</v>
      </c>
      <c r="M90" t="s">
        <v>27</v>
      </c>
      <c r="N90" s="3">
        <f>IF(BanHang[[#This Row],[Trạng thái]]="Huỷ cọc",0,BanHang[[#This Row],[Giá trị hợp đồng (trđ)]]*(1-BanHang[[#This Row],[Chiết khấu (%)]]))</f>
        <v>4648.6440000000002</v>
      </c>
    </row>
    <row r="91" spans="1:14" x14ac:dyDescent="0.3">
      <c r="A91" t="s">
        <v>132</v>
      </c>
      <c r="B91" s="1">
        <v>46090.729166666672</v>
      </c>
      <c r="C91" t="str">
        <f>"Tháng "&amp;MONTH(BanHang[[#This Row],[Ngày giờ bán]])</f>
        <v>Tháng 3</v>
      </c>
      <c r="D91" t="s">
        <v>15</v>
      </c>
      <c r="E91" t="s">
        <v>16</v>
      </c>
      <c r="F91" t="s">
        <v>103</v>
      </c>
      <c r="G91" t="s">
        <v>18</v>
      </c>
      <c r="H91" t="s">
        <v>476</v>
      </c>
      <c r="I91" s="2">
        <v>255.4</v>
      </c>
      <c r="J91" s="2">
        <v>170.7</v>
      </c>
      <c r="K91" s="3">
        <f>BanHang[[#This Row],[Diện tích (m²)]]*BanHang[[#This Row],[Đơn giá (trđ/m²)]]</f>
        <v>43596.78</v>
      </c>
      <c r="L91" s="4">
        <v>0</v>
      </c>
      <c r="M91" t="s">
        <v>27</v>
      </c>
      <c r="N91" s="3">
        <f>IF(BanHang[[#This Row],[Trạng thái]]="Huỷ cọc",0,BanHang[[#This Row],[Giá trị hợp đồng (trđ)]]*(1-BanHang[[#This Row],[Chiết khấu (%)]]))</f>
        <v>43596.78</v>
      </c>
    </row>
    <row r="92" spans="1:14" x14ac:dyDescent="0.3">
      <c r="A92" t="s">
        <v>133</v>
      </c>
      <c r="B92" s="1">
        <v>46091.40625</v>
      </c>
      <c r="C92" t="str">
        <f>"Tháng "&amp;MONTH(BanHang[[#This Row],[Ngày giờ bán]])</f>
        <v>Tháng 3</v>
      </c>
      <c r="D92" t="s">
        <v>101</v>
      </c>
      <c r="E92" t="s">
        <v>50</v>
      </c>
      <c r="F92" t="s">
        <v>17</v>
      </c>
      <c r="G92" t="s">
        <v>18</v>
      </c>
      <c r="H92" t="s">
        <v>26</v>
      </c>
      <c r="I92" s="2">
        <v>64.099999999999994</v>
      </c>
      <c r="J92" s="2">
        <v>55</v>
      </c>
      <c r="K92" s="3">
        <f>BanHang[[#This Row],[Diện tích (m²)]]*BanHang[[#This Row],[Đơn giá (trđ/m²)]]</f>
        <v>3525.4999999999995</v>
      </c>
      <c r="L92" s="4">
        <v>0</v>
      </c>
      <c r="M92" t="s">
        <v>53</v>
      </c>
      <c r="N92" s="3">
        <f>IF(BanHang[[#This Row],[Trạng thái]]="Huỷ cọc",0,BanHang[[#This Row],[Giá trị hợp đồng (trđ)]]*(1-BanHang[[#This Row],[Chiết khấu (%)]]))</f>
        <v>3525.4999999999995</v>
      </c>
    </row>
    <row r="93" spans="1:14" x14ac:dyDescent="0.3">
      <c r="A93" t="s">
        <v>135</v>
      </c>
      <c r="B93" s="1">
        <v>46091.583333333336</v>
      </c>
      <c r="C93" t="str">
        <f>"Tháng "&amp;MONTH(BanHang[[#This Row],[Ngày giờ bán]])</f>
        <v>Tháng 3</v>
      </c>
      <c r="D93" t="s">
        <v>383</v>
      </c>
      <c r="E93" t="s">
        <v>384</v>
      </c>
      <c r="F93" t="s">
        <v>24</v>
      </c>
      <c r="G93" t="s">
        <v>51</v>
      </c>
      <c r="H93" t="s">
        <v>79</v>
      </c>
      <c r="I93" s="2">
        <v>44.9</v>
      </c>
      <c r="J93" s="2">
        <v>57.7</v>
      </c>
      <c r="K93" s="3">
        <f>BanHang[[#This Row],[Diện tích (m²)]]*BanHang[[#This Row],[Đơn giá (trđ/m²)]]</f>
        <v>2590.73</v>
      </c>
      <c r="L93" s="4">
        <v>0.02</v>
      </c>
      <c r="M93" t="s">
        <v>27</v>
      </c>
      <c r="N93" s="3">
        <f>IF(BanHang[[#This Row],[Trạng thái]]="Huỷ cọc",0,BanHang[[#This Row],[Giá trị hợp đồng (trđ)]]*(1-BanHang[[#This Row],[Chiết khấu (%)]]))</f>
        <v>2538.9153999999999</v>
      </c>
    </row>
    <row r="94" spans="1:14" x14ac:dyDescent="0.3">
      <c r="A94" t="s">
        <v>136</v>
      </c>
      <c r="B94" s="1">
        <v>46092.5</v>
      </c>
      <c r="C94" t="str">
        <f>"Tháng "&amp;MONTH(BanHang[[#This Row],[Ngày giờ bán]])</f>
        <v>Tháng 3</v>
      </c>
      <c r="D94" t="s">
        <v>49</v>
      </c>
      <c r="E94" t="s">
        <v>50</v>
      </c>
      <c r="F94" t="s">
        <v>156</v>
      </c>
      <c r="G94" t="s">
        <v>78</v>
      </c>
      <c r="H94" t="s">
        <v>52</v>
      </c>
      <c r="I94" s="2">
        <v>91.9</v>
      </c>
      <c r="J94" s="2">
        <v>71.900000000000006</v>
      </c>
      <c r="K94" s="3">
        <f>BanHang[[#This Row],[Diện tích (m²)]]*BanHang[[#This Row],[Đơn giá (trđ/m²)]]</f>
        <v>6607.6100000000006</v>
      </c>
      <c r="L94" s="4">
        <v>0.03</v>
      </c>
      <c r="M94" t="s">
        <v>27</v>
      </c>
      <c r="N94" s="3">
        <f>IF(BanHang[[#This Row],[Trạng thái]]="Huỷ cọc",0,BanHang[[#This Row],[Giá trị hợp đồng (trđ)]]*(1-BanHang[[#This Row],[Chiết khấu (%)]]))</f>
        <v>6409.3817000000008</v>
      </c>
    </row>
    <row r="95" spans="1:14" x14ac:dyDescent="0.3">
      <c r="A95" t="s">
        <v>137</v>
      </c>
      <c r="B95" s="1">
        <v>46092.677083333328</v>
      </c>
      <c r="C95" t="str">
        <f>"Tháng "&amp;MONTH(BanHang[[#This Row],[Ngày giờ bán]])</f>
        <v>Tháng 3</v>
      </c>
      <c r="D95" t="s">
        <v>111</v>
      </c>
      <c r="E95" t="s">
        <v>50</v>
      </c>
      <c r="F95" t="s">
        <v>17</v>
      </c>
      <c r="G95" t="s">
        <v>108</v>
      </c>
      <c r="H95" t="s">
        <v>226</v>
      </c>
      <c r="I95" s="2">
        <v>68.7</v>
      </c>
      <c r="J95" s="2">
        <v>62.6</v>
      </c>
      <c r="K95" s="3">
        <f>BanHang[[#This Row],[Diện tích (m²)]]*BanHang[[#This Row],[Đơn giá (trđ/m²)]]</f>
        <v>4300.62</v>
      </c>
      <c r="L95" s="4">
        <v>0.08</v>
      </c>
      <c r="M95" t="s">
        <v>53</v>
      </c>
      <c r="N95" s="3">
        <f>IF(BanHang[[#This Row],[Trạng thái]]="Huỷ cọc",0,BanHang[[#This Row],[Giá trị hợp đồng (trđ)]]*(1-BanHang[[#This Row],[Chiết khấu (%)]]))</f>
        <v>3956.5704000000001</v>
      </c>
    </row>
    <row r="96" spans="1:14" x14ac:dyDescent="0.3">
      <c r="A96" t="s">
        <v>138</v>
      </c>
      <c r="B96" s="1">
        <v>46093.572916666664</v>
      </c>
      <c r="C96" t="str">
        <f>"Tháng "&amp;MONTH(BanHang[[#This Row],[Ngày giờ bán]])</f>
        <v>Tháng 3</v>
      </c>
      <c r="D96" t="s">
        <v>478</v>
      </c>
      <c r="E96" t="s">
        <v>384</v>
      </c>
      <c r="F96" t="s">
        <v>156</v>
      </c>
      <c r="G96" t="s">
        <v>108</v>
      </c>
      <c r="H96" t="s">
        <v>406</v>
      </c>
      <c r="I96" s="2">
        <v>43.4</v>
      </c>
      <c r="J96" s="2">
        <v>70.400000000000006</v>
      </c>
      <c r="K96" s="3">
        <f>BanHang[[#This Row],[Diện tích (m²)]]*BanHang[[#This Row],[Đơn giá (trđ/m²)]]</f>
        <v>3055.36</v>
      </c>
      <c r="L96" s="4">
        <v>0.08</v>
      </c>
      <c r="M96" t="s">
        <v>53</v>
      </c>
      <c r="N96" s="3">
        <f>IF(BanHang[[#This Row],[Trạng thái]]="Huỷ cọc",0,BanHang[[#This Row],[Giá trị hợp đồng (trđ)]]*(1-BanHang[[#This Row],[Chiết khấu (%)]]))</f>
        <v>2810.9312000000004</v>
      </c>
    </row>
    <row r="97" spans="1:14" x14ac:dyDescent="0.3">
      <c r="A97" t="s">
        <v>139</v>
      </c>
      <c r="B97" s="1">
        <v>46094.447916666664</v>
      </c>
      <c r="C97" t="str">
        <f>"Tháng "&amp;MONTH(BanHang[[#This Row],[Ngày giờ bán]])</f>
        <v>Tháng 3</v>
      </c>
      <c r="D97" t="s">
        <v>76</v>
      </c>
      <c r="E97" t="s">
        <v>50</v>
      </c>
      <c r="F97" t="s">
        <v>103</v>
      </c>
      <c r="G97" t="s">
        <v>51</v>
      </c>
      <c r="H97" t="s">
        <v>157</v>
      </c>
      <c r="I97" s="2">
        <v>56.2</v>
      </c>
      <c r="J97" s="2">
        <v>70.3</v>
      </c>
      <c r="K97" s="3">
        <f>BanHang[[#This Row],[Diện tích (m²)]]*BanHang[[#This Row],[Đơn giá (trđ/m²)]]</f>
        <v>3950.86</v>
      </c>
      <c r="L97" s="4">
        <v>0.05</v>
      </c>
      <c r="M97" t="s">
        <v>27</v>
      </c>
      <c r="N97" s="3">
        <f>IF(BanHang[[#This Row],[Trạng thái]]="Huỷ cọc",0,BanHang[[#This Row],[Giá trị hợp đồng (trđ)]]*(1-BanHang[[#This Row],[Chiết khấu (%)]]))</f>
        <v>3753.317</v>
      </c>
    </row>
    <row r="98" spans="1:14" x14ac:dyDescent="0.3">
      <c r="A98" t="s">
        <v>140</v>
      </c>
      <c r="B98" s="1">
        <v>46096.479166666672</v>
      </c>
      <c r="C98" t="str">
        <f>"Tháng "&amp;MONTH(BanHang[[#This Row],[Ngày giờ bán]])</f>
        <v>Tháng 3</v>
      </c>
      <c r="D98" t="s">
        <v>225</v>
      </c>
      <c r="E98" t="s">
        <v>180</v>
      </c>
      <c r="F98" t="s">
        <v>103</v>
      </c>
      <c r="G98" t="s">
        <v>108</v>
      </c>
      <c r="H98" t="s">
        <v>109</v>
      </c>
      <c r="I98" s="2">
        <v>208</v>
      </c>
      <c r="J98" s="2">
        <v>54</v>
      </c>
      <c r="K98" s="3">
        <f>BanHang[[#This Row],[Diện tích (m²)]]*BanHang[[#This Row],[Đơn giá (trđ/m²)]]</f>
        <v>11232</v>
      </c>
      <c r="L98" s="4">
        <v>0</v>
      </c>
      <c r="M98" t="s">
        <v>53</v>
      </c>
      <c r="N98" s="3">
        <f>IF(BanHang[[#This Row],[Trạng thái]]="Huỷ cọc",0,BanHang[[#This Row],[Giá trị hợp đồng (trđ)]]*(1-BanHang[[#This Row],[Chiết khấu (%)]]))</f>
        <v>11232</v>
      </c>
    </row>
    <row r="99" spans="1:14" x14ac:dyDescent="0.3">
      <c r="A99" t="s">
        <v>141</v>
      </c>
      <c r="B99" s="1">
        <v>46096.510416666664</v>
      </c>
      <c r="C99" t="str">
        <f>"Tháng "&amp;MONTH(BanHang[[#This Row],[Ngày giờ bán]])</f>
        <v>Tháng 3</v>
      </c>
      <c r="D99" t="s">
        <v>477</v>
      </c>
      <c r="E99" t="s">
        <v>106</v>
      </c>
      <c r="F99" t="s">
        <v>156</v>
      </c>
      <c r="G99" t="s">
        <v>25</v>
      </c>
      <c r="H99" t="s">
        <v>26</v>
      </c>
      <c r="I99" s="2">
        <v>146.19999999999999</v>
      </c>
      <c r="J99" s="2">
        <v>179.2</v>
      </c>
      <c r="K99" s="3">
        <f>BanHang[[#This Row],[Diện tích (m²)]]*BanHang[[#This Row],[Đơn giá (trđ/m²)]]</f>
        <v>26199.039999999997</v>
      </c>
      <c r="L99" s="4">
        <v>0.03</v>
      </c>
      <c r="M99" t="s">
        <v>53</v>
      </c>
      <c r="N99" s="3">
        <f>IF(BanHang[[#This Row],[Trạng thái]]="Huỷ cọc",0,BanHang[[#This Row],[Giá trị hợp đồng (trđ)]]*(1-BanHang[[#This Row],[Chiết khấu (%)]]))</f>
        <v>25413.068799999997</v>
      </c>
    </row>
    <row r="100" spans="1:14" x14ac:dyDescent="0.3">
      <c r="A100" t="s">
        <v>142</v>
      </c>
      <c r="B100" s="1">
        <v>46096.635416666664</v>
      </c>
      <c r="C100" t="str">
        <f>"Tháng "&amp;MONTH(BanHang[[#This Row],[Ngày giờ bán]])</f>
        <v>Tháng 3</v>
      </c>
      <c r="D100" t="s">
        <v>179</v>
      </c>
      <c r="E100" t="s">
        <v>180</v>
      </c>
      <c r="F100" t="s">
        <v>77</v>
      </c>
      <c r="G100" t="s">
        <v>51</v>
      </c>
      <c r="H100" t="s">
        <v>79</v>
      </c>
      <c r="I100" s="2">
        <v>109.7</v>
      </c>
      <c r="J100" s="2">
        <v>50.2</v>
      </c>
      <c r="K100" s="3">
        <f>BanHang[[#This Row],[Diện tích (m²)]]*BanHang[[#This Row],[Đơn giá (trđ/m²)]]</f>
        <v>5506.9400000000005</v>
      </c>
      <c r="L100" s="4">
        <v>0.05</v>
      </c>
      <c r="M100" t="s">
        <v>27</v>
      </c>
      <c r="N100" s="3">
        <f>IF(BanHang[[#This Row],[Trạng thái]]="Huỷ cọc",0,BanHang[[#This Row],[Giá trị hợp đồng (trđ)]]*(1-BanHang[[#This Row],[Chiết khấu (%)]]))</f>
        <v>5231.5929999999998</v>
      </c>
    </row>
    <row r="101" spans="1:14" x14ac:dyDescent="0.3">
      <c r="A101" t="s">
        <v>143</v>
      </c>
      <c r="B101" s="1">
        <v>46097.46875</v>
      </c>
      <c r="C101" t="str">
        <f>"Tháng "&amp;MONTH(BanHang[[#This Row],[Ngày giờ bán]])</f>
        <v>Tháng 3</v>
      </c>
      <c r="D101" t="s">
        <v>111</v>
      </c>
      <c r="E101" t="s">
        <v>50</v>
      </c>
      <c r="F101" t="s">
        <v>107</v>
      </c>
      <c r="G101" t="s">
        <v>18</v>
      </c>
      <c r="H101" t="s">
        <v>134</v>
      </c>
      <c r="I101" s="2">
        <v>68.8</v>
      </c>
      <c r="J101" s="2">
        <v>53.2</v>
      </c>
      <c r="K101" s="3">
        <f>BanHang[[#This Row],[Diện tích (m²)]]*BanHang[[#This Row],[Đơn giá (trđ/m²)]]</f>
        <v>3660.16</v>
      </c>
      <c r="L101" s="4">
        <v>0.01</v>
      </c>
      <c r="M101" t="s">
        <v>27</v>
      </c>
      <c r="N101" s="3">
        <f>IF(BanHang[[#This Row],[Trạng thái]]="Huỷ cọc",0,BanHang[[#This Row],[Giá trị hợp đồng (trđ)]]*(1-BanHang[[#This Row],[Chiết khấu (%)]]))</f>
        <v>3623.5583999999999</v>
      </c>
    </row>
    <row r="102" spans="1:14" x14ac:dyDescent="0.3">
      <c r="A102" t="s">
        <v>144</v>
      </c>
      <c r="B102" s="1">
        <v>46097.6875</v>
      </c>
      <c r="C102" t="str">
        <f>"Tháng "&amp;MONTH(BanHang[[#This Row],[Ngày giờ bán]])</f>
        <v>Tháng 3</v>
      </c>
      <c r="D102" t="s">
        <v>454</v>
      </c>
      <c r="E102" t="s">
        <v>106</v>
      </c>
      <c r="F102" t="s">
        <v>107</v>
      </c>
      <c r="G102" t="s">
        <v>18</v>
      </c>
      <c r="H102" t="s">
        <v>134</v>
      </c>
      <c r="I102" s="2">
        <v>151</v>
      </c>
      <c r="J102" s="2">
        <v>199.8</v>
      </c>
      <c r="K102" s="3">
        <f>BanHang[[#This Row],[Diện tích (m²)]]*BanHang[[#This Row],[Đơn giá (trđ/m²)]]</f>
        <v>30169.800000000003</v>
      </c>
      <c r="L102" s="4">
        <v>0</v>
      </c>
      <c r="M102" t="s">
        <v>27</v>
      </c>
      <c r="N102" s="3">
        <f>IF(BanHang[[#This Row],[Trạng thái]]="Huỷ cọc",0,BanHang[[#This Row],[Giá trị hợp đồng (trđ)]]*(1-BanHang[[#This Row],[Chiết khấu (%)]]))</f>
        <v>30169.800000000003</v>
      </c>
    </row>
    <row r="103" spans="1:14" x14ac:dyDescent="0.3">
      <c r="A103" t="s">
        <v>145</v>
      </c>
      <c r="B103" s="1">
        <v>46097.760416666664</v>
      </c>
      <c r="C103" t="str">
        <f>"Tháng "&amp;MONTH(BanHang[[#This Row],[Ngày giờ bán]])</f>
        <v>Tháng 3</v>
      </c>
      <c r="D103" t="s">
        <v>15</v>
      </c>
      <c r="E103" t="s">
        <v>16</v>
      </c>
      <c r="F103" t="s">
        <v>77</v>
      </c>
      <c r="G103" t="s">
        <v>51</v>
      </c>
      <c r="H103" t="s">
        <v>26</v>
      </c>
      <c r="I103" s="2">
        <v>275.3</v>
      </c>
      <c r="J103" s="2">
        <v>150.6</v>
      </c>
      <c r="K103" s="3">
        <f>BanHang[[#This Row],[Diện tích (m²)]]*BanHang[[#This Row],[Đơn giá (trđ/m²)]]</f>
        <v>41460.18</v>
      </c>
      <c r="L103" s="4">
        <v>0.03</v>
      </c>
      <c r="M103" t="s">
        <v>27</v>
      </c>
      <c r="N103" s="3">
        <f>IF(BanHang[[#This Row],[Trạng thái]]="Huỷ cọc",0,BanHang[[#This Row],[Giá trị hợp đồng (trđ)]]*(1-BanHang[[#This Row],[Chiết khấu (%)]]))</f>
        <v>40216.374599999996</v>
      </c>
    </row>
    <row r="104" spans="1:14" x14ac:dyDescent="0.3">
      <c r="A104" t="s">
        <v>146</v>
      </c>
      <c r="B104" s="1">
        <v>46098.53125</v>
      </c>
      <c r="C104" t="str">
        <f>"Tháng "&amp;MONTH(BanHang[[#This Row],[Ngày giờ bán]])</f>
        <v>Tháng 3</v>
      </c>
      <c r="D104" t="s">
        <v>105</v>
      </c>
      <c r="E104" t="s">
        <v>23</v>
      </c>
      <c r="F104" t="s">
        <v>24</v>
      </c>
      <c r="G104" t="s">
        <v>108</v>
      </c>
      <c r="H104" t="s">
        <v>19</v>
      </c>
      <c r="I104" s="2">
        <v>88.8</v>
      </c>
      <c r="J104" s="2">
        <v>78.3</v>
      </c>
      <c r="K104" s="3">
        <f>BanHang[[#This Row],[Diện tích (m²)]]*BanHang[[#This Row],[Đơn giá (trđ/m²)]]</f>
        <v>6953.04</v>
      </c>
      <c r="L104" s="4">
        <v>0.01</v>
      </c>
      <c r="M104" t="s">
        <v>53</v>
      </c>
      <c r="N104" s="3">
        <f>IF(BanHang[[#This Row],[Trạng thái]]="Huỷ cọc",0,BanHang[[#This Row],[Giá trị hợp đồng (trđ)]]*(1-BanHang[[#This Row],[Chiết khấu (%)]]))</f>
        <v>6883.5096000000003</v>
      </c>
    </row>
    <row r="105" spans="1:14" x14ac:dyDescent="0.3">
      <c r="A105" t="s">
        <v>147</v>
      </c>
      <c r="B105" s="1">
        <v>46099.770833333336</v>
      </c>
      <c r="C105" t="str">
        <f>"Tháng "&amp;MONTH(BanHang[[#This Row],[Ngày giờ bán]])</f>
        <v>Tháng 3</v>
      </c>
      <c r="D105" t="s">
        <v>249</v>
      </c>
      <c r="E105" t="s">
        <v>16</v>
      </c>
      <c r="F105" t="s">
        <v>24</v>
      </c>
      <c r="G105" t="s">
        <v>78</v>
      </c>
      <c r="H105" t="s">
        <v>26</v>
      </c>
      <c r="I105" s="2">
        <v>325.3</v>
      </c>
      <c r="J105" s="2">
        <v>124.2</v>
      </c>
      <c r="K105" s="3">
        <f>BanHang[[#This Row],[Diện tích (m²)]]*BanHang[[#This Row],[Đơn giá (trđ/m²)]]</f>
        <v>40402.26</v>
      </c>
      <c r="L105" s="4">
        <v>0.02</v>
      </c>
      <c r="M105" t="s">
        <v>53</v>
      </c>
      <c r="N105" s="3">
        <f>IF(BanHang[[#This Row],[Trạng thái]]="Huỷ cọc",0,BanHang[[#This Row],[Giá trị hợp đồng (trđ)]]*(1-BanHang[[#This Row],[Chiết khấu (%)]]))</f>
        <v>39594.214800000002</v>
      </c>
    </row>
    <row r="106" spans="1:14" x14ac:dyDescent="0.3">
      <c r="A106" t="s">
        <v>148</v>
      </c>
      <c r="B106" s="1">
        <v>46100.65625</v>
      </c>
      <c r="C106" t="str">
        <f>"Tháng "&amp;MONTH(BanHang[[#This Row],[Ngày giờ bán]])</f>
        <v>Tháng 3</v>
      </c>
      <c r="D106" t="s">
        <v>111</v>
      </c>
      <c r="E106" t="s">
        <v>50</v>
      </c>
      <c r="F106" t="s">
        <v>17</v>
      </c>
      <c r="G106" t="s">
        <v>18</v>
      </c>
      <c r="H106" t="s">
        <v>52</v>
      </c>
      <c r="I106" s="2">
        <v>64.5</v>
      </c>
      <c r="J106" s="2">
        <v>53.2</v>
      </c>
      <c r="K106" s="3">
        <f>BanHang[[#This Row],[Diện tích (m²)]]*BanHang[[#This Row],[Đơn giá (trđ/m²)]]</f>
        <v>3431.4</v>
      </c>
      <c r="L106" s="4">
        <v>0</v>
      </c>
      <c r="M106" t="s">
        <v>27</v>
      </c>
      <c r="N106" s="3">
        <f>IF(BanHang[[#This Row],[Trạng thái]]="Huỷ cọc",0,BanHang[[#This Row],[Giá trị hợp đồng (trđ)]]*(1-BanHang[[#This Row],[Chiết khấu (%)]]))</f>
        <v>3431.4</v>
      </c>
    </row>
    <row r="107" spans="1:14" x14ac:dyDescent="0.3">
      <c r="A107" t="s">
        <v>149</v>
      </c>
      <c r="B107" s="1">
        <v>46101.333333333336</v>
      </c>
      <c r="C107" t="str">
        <f>"Tháng "&amp;MONTH(BanHang[[#This Row],[Ngày giờ bán]])</f>
        <v>Tháng 3</v>
      </c>
      <c r="D107" t="s">
        <v>111</v>
      </c>
      <c r="E107" t="s">
        <v>50</v>
      </c>
      <c r="F107" t="s">
        <v>103</v>
      </c>
      <c r="G107" t="s">
        <v>51</v>
      </c>
      <c r="H107" t="s">
        <v>157</v>
      </c>
      <c r="I107" s="2">
        <v>71.3</v>
      </c>
      <c r="J107" s="2">
        <v>45.5</v>
      </c>
      <c r="K107" s="3">
        <f>BanHang[[#This Row],[Diện tích (m²)]]*BanHang[[#This Row],[Đơn giá (trđ/m²)]]</f>
        <v>3244.15</v>
      </c>
      <c r="L107" s="4">
        <v>7.0000000000000007E-2</v>
      </c>
      <c r="M107" t="s">
        <v>53</v>
      </c>
      <c r="N107" s="3">
        <f>IF(BanHang[[#This Row],[Trạng thái]]="Huỷ cọc",0,BanHang[[#This Row],[Giá trị hợp đồng (trđ)]]*(1-BanHang[[#This Row],[Chiết khấu (%)]]))</f>
        <v>3017.0594999999998</v>
      </c>
    </row>
    <row r="108" spans="1:14" x14ac:dyDescent="0.3">
      <c r="A108" t="s">
        <v>150</v>
      </c>
      <c r="B108" s="1">
        <v>46101.5625</v>
      </c>
      <c r="C108" t="str">
        <f>"Tháng "&amp;MONTH(BanHang[[#This Row],[Ngày giờ bán]])</f>
        <v>Tháng 3</v>
      </c>
      <c r="D108" t="s">
        <v>76</v>
      </c>
      <c r="E108" t="s">
        <v>50</v>
      </c>
      <c r="F108" t="s">
        <v>24</v>
      </c>
      <c r="G108" t="s">
        <v>18</v>
      </c>
      <c r="H108" t="s">
        <v>476</v>
      </c>
      <c r="I108" s="2">
        <v>78</v>
      </c>
      <c r="J108" s="2">
        <v>60.9</v>
      </c>
      <c r="K108" s="3">
        <f>BanHang[[#This Row],[Diện tích (m²)]]*BanHang[[#This Row],[Đơn giá (trđ/m²)]]</f>
        <v>4750.2</v>
      </c>
      <c r="L108" s="4">
        <v>0</v>
      </c>
      <c r="M108" t="s">
        <v>27</v>
      </c>
      <c r="N108" s="3">
        <f>IF(BanHang[[#This Row],[Trạng thái]]="Huỷ cọc",0,BanHang[[#This Row],[Giá trị hợp đồng (trđ)]]*(1-BanHang[[#This Row],[Chiết khấu (%)]]))</f>
        <v>4750.2</v>
      </c>
    </row>
    <row r="109" spans="1:14" x14ac:dyDescent="0.3">
      <c r="A109" t="s">
        <v>151</v>
      </c>
      <c r="B109" s="1">
        <v>46103.4375</v>
      </c>
      <c r="C109" t="str">
        <f>"Tháng "&amp;MONTH(BanHang[[#This Row],[Ngày giờ bán]])</f>
        <v>Tháng 3</v>
      </c>
      <c r="D109" t="s">
        <v>49</v>
      </c>
      <c r="E109" t="s">
        <v>50</v>
      </c>
      <c r="F109" t="s">
        <v>24</v>
      </c>
      <c r="G109" t="s">
        <v>51</v>
      </c>
      <c r="H109" t="s">
        <v>79</v>
      </c>
      <c r="I109" s="2">
        <v>88.2</v>
      </c>
      <c r="J109" s="2">
        <v>55.1</v>
      </c>
      <c r="K109" s="3">
        <f>BanHang[[#This Row],[Diện tích (m²)]]*BanHang[[#This Row],[Đơn giá (trđ/m²)]]</f>
        <v>4859.8200000000006</v>
      </c>
      <c r="L109" s="4">
        <v>0.02</v>
      </c>
      <c r="M109" t="s">
        <v>53</v>
      </c>
      <c r="N109" s="3">
        <f>IF(BanHang[[#This Row],[Trạng thái]]="Huỷ cọc",0,BanHang[[#This Row],[Giá trị hợp đồng (trđ)]]*(1-BanHang[[#This Row],[Chiết khấu (%)]]))</f>
        <v>4762.6236000000008</v>
      </c>
    </row>
    <row r="110" spans="1:14" x14ac:dyDescent="0.3">
      <c r="A110" t="s">
        <v>152</v>
      </c>
      <c r="B110" s="1">
        <v>46103.760416666664</v>
      </c>
      <c r="C110" t="str">
        <f>"Tháng "&amp;MONTH(BanHang[[#This Row],[Ngày giờ bán]])</f>
        <v>Tháng 3</v>
      </c>
      <c r="D110" t="s">
        <v>249</v>
      </c>
      <c r="E110" t="s">
        <v>16</v>
      </c>
      <c r="F110" t="s">
        <v>103</v>
      </c>
      <c r="G110" t="s">
        <v>108</v>
      </c>
      <c r="H110" t="s">
        <v>406</v>
      </c>
      <c r="I110" s="2">
        <v>276.8</v>
      </c>
      <c r="J110" s="2">
        <v>155.4</v>
      </c>
      <c r="K110" s="3">
        <f>BanHang[[#This Row],[Diện tích (m²)]]*BanHang[[#This Row],[Đơn giá (trđ/m²)]]</f>
        <v>43014.720000000001</v>
      </c>
      <c r="L110" s="4">
        <v>0</v>
      </c>
      <c r="M110" t="s">
        <v>53</v>
      </c>
      <c r="N110" s="3">
        <f>IF(BanHang[[#This Row],[Trạng thái]]="Huỷ cọc",0,BanHang[[#This Row],[Giá trị hợp đồng (trđ)]]*(1-BanHang[[#This Row],[Chiết khấu (%)]]))</f>
        <v>43014.720000000001</v>
      </c>
    </row>
    <row r="111" spans="1:14" x14ac:dyDescent="0.3">
      <c r="A111" t="s">
        <v>153</v>
      </c>
      <c r="B111" s="1">
        <v>46105.65625</v>
      </c>
      <c r="C111" t="str">
        <f>"Tháng "&amp;MONTH(BanHang[[#This Row],[Ngày giờ bán]])</f>
        <v>Tháng 3</v>
      </c>
      <c r="D111" t="s">
        <v>22</v>
      </c>
      <c r="E111" t="s">
        <v>23</v>
      </c>
      <c r="F111" t="s">
        <v>77</v>
      </c>
      <c r="G111" t="s">
        <v>78</v>
      </c>
      <c r="H111" t="s">
        <v>19</v>
      </c>
      <c r="I111" s="2">
        <v>140.30000000000001</v>
      </c>
      <c r="J111" s="2">
        <v>135.30000000000001</v>
      </c>
      <c r="K111" s="3">
        <f>BanHang[[#This Row],[Diện tích (m²)]]*BanHang[[#This Row],[Đơn giá (trđ/m²)]]</f>
        <v>18982.590000000004</v>
      </c>
      <c r="L111" s="4">
        <v>0</v>
      </c>
      <c r="M111" t="s">
        <v>53</v>
      </c>
      <c r="N111" s="3">
        <f>IF(BanHang[[#This Row],[Trạng thái]]="Huỷ cọc",0,BanHang[[#This Row],[Giá trị hợp đồng (trđ)]]*(1-BanHang[[#This Row],[Chiết khấu (%)]]))</f>
        <v>18982.590000000004</v>
      </c>
    </row>
    <row r="112" spans="1:14" x14ac:dyDescent="0.3">
      <c r="A112" t="s">
        <v>154</v>
      </c>
      <c r="B112" s="1">
        <v>46106.458333333336</v>
      </c>
      <c r="C112" t="str">
        <f>"Tháng "&amp;MONTH(BanHang[[#This Row],[Ngày giờ bán]])</f>
        <v>Tháng 3</v>
      </c>
      <c r="D112" t="s">
        <v>408</v>
      </c>
      <c r="E112" t="s">
        <v>180</v>
      </c>
      <c r="F112" t="s">
        <v>156</v>
      </c>
      <c r="G112" t="s">
        <v>108</v>
      </c>
      <c r="H112" t="s">
        <v>52</v>
      </c>
      <c r="I112" s="2">
        <v>200.3</v>
      </c>
      <c r="J112" s="2">
        <v>28.3</v>
      </c>
      <c r="K112" s="3">
        <f>BanHang[[#This Row],[Diện tích (m²)]]*BanHang[[#This Row],[Đơn giá (trđ/m²)]]</f>
        <v>5668.4900000000007</v>
      </c>
      <c r="L112" s="4">
        <v>0.01</v>
      </c>
      <c r="M112" t="s">
        <v>27</v>
      </c>
      <c r="N112" s="3">
        <f>IF(BanHang[[#This Row],[Trạng thái]]="Huỷ cọc",0,BanHang[[#This Row],[Giá trị hợp đồng (trđ)]]*(1-BanHang[[#This Row],[Chiết khấu (%)]]))</f>
        <v>5611.8051000000005</v>
      </c>
    </row>
    <row r="113" spans="1:14" x14ac:dyDescent="0.3">
      <c r="A113" t="s">
        <v>155</v>
      </c>
      <c r="B113" s="1">
        <v>46106.8125</v>
      </c>
      <c r="C113" t="str">
        <f>"Tháng "&amp;MONTH(BanHang[[#This Row],[Ngày giờ bán]])</f>
        <v>Tháng 3</v>
      </c>
      <c r="D113" t="s">
        <v>408</v>
      </c>
      <c r="E113" t="s">
        <v>180</v>
      </c>
      <c r="F113" t="s">
        <v>103</v>
      </c>
      <c r="G113" t="s">
        <v>51</v>
      </c>
      <c r="H113" t="s">
        <v>406</v>
      </c>
      <c r="I113" s="2">
        <v>201.2</v>
      </c>
      <c r="J113" s="2">
        <v>38.200000000000003</v>
      </c>
      <c r="K113" s="3">
        <f>BanHang[[#This Row],[Diện tích (m²)]]*BanHang[[#This Row],[Đơn giá (trđ/m²)]]</f>
        <v>7685.84</v>
      </c>
      <c r="L113" s="4">
        <v>0</v>
      </c>
      <c r="M113" t="s">
        <v>53</v>
      </c>
      <c r="N113" s="3">
        <f>IF(BanHang[[#This Row],[Trạng thái]]="Huỷ cọc",0,BanHang[[#This Row],[Giá trị hợp đồng (trđ)]]*(1-BanHang[[#This Row],[Chiết khấu (%)]]))</f>
        <v>7685.84</v>
      </c>
    </row>
    <row r="114" spans="1:14" x14ac:dyDescent="0.3">
      <c r="A114" t="s">
        <v>158</v>
      </c>
      <c r="B114" s="1">
        <v>46107.729166666672</v>
      </c>
      <c r="C114" t="str">
        <f>"Tháng "&amp;MONTH(BanHang[[#This Row],[Ngày giờ bán]])</f>
        <v>Tháng 3</v>
      </c>
      <c r="D114" t="s">
        <v>76</v>
      </c>
      <c r="E114" t="s">
        <v>50</v>
      </c>
      <c r="F114" t="s">
        <v>156</v>
      </c>
      <c r="G114" t="s">
        <v>25</v>
      </c>
      <c r="H114" t="s">
        <v>406</v>
      </c>
      <c r="I114" s="2">
        <v>64.2</v>
      </c>
      <c r="J114" s="2">
        <v>52.4</v>
      </c>
      <c r="K114" s="3">
        <f>BanHang[[#This Row],[Diện tích (m²)]]*BanHang[[#This Row],[Đơn giá (trđ/m²)]]</f>
        <v>3364.08</v>
      </c>
      <c r="L114" s="4">
        <v>0.03</v>
      </c>
      <c r="M114" t="s">
        <v>53</v>
      </c>
      <c r="N114" s="3">
        <f>IF(BanHang[[#This Row],[Trạng thái]]="Huỷ cọc",0,BanHang[[#This Row],[Giá trị hợp đồng (trđ)]]*(1-BanHang[[#This Row],[Chiết khấu (%)]]))</f>
        <v>3263.1576</v>
      </c>
    </row>
    <row r="115" spans="1:14" x14ac:dyDescent="0.3">
      <c r="A115" t="s">
        <v>159</v>
      </c>
      <c r="B115" s="1">
        <v>46110.697916666664</v>
      </c>
      <c r="C115" t="str">
        <f>"Tháng "&amp;MONTH(BanHang[[#This Row],[Ngày giờ bán]])</f>
        <v>Tháng 3</v>
      </c>
      <c r="D115" t="s">
        <v>76</v>
      </c>
      <c r="E115" t="s">
        <v>50</v>
      </c>
      <c r="F115" t="s">
        <v>24</v>
      </c>
      <c r="G115" t="s">
        <v>51</v>
      </c>
      <c r="H115" t="s">
        <v>109</v>
      </c>
      <c r="I115" s="2">
        <v>71.3</v>
      </c>
      <c r="J115" s="2">
        <v>71.8</v>
      </c>
      <c r="K115" s="3">
        <f>BanHang[[#This Row],[Diện tích (m²)]]*BanHang[[#This Row],[Đơn giá (trđ/m²)]]</f>
        <v>5119.3399999999992</v>
      </c>
      <c r="L115" s="4">
        <v>0</v>
      </c>
      <c r="M115" t="s">
        <v>53</v>
      </c>
      <c r="N115" s="3">
        <f>IF(BanHang[[#This Row],[Trạng thái]]="Huỷ cọc",0,BanHang[[#This Row],[Giá trị hợp đồng (trđ)]]*(1-BanHang[[#This Row],[Chiết khấu (%)]]))</f>
        <v>5119.3399999999992</v>
      </c>
    </row>
    <row r="116" spans="1:14" x14ac:dyDescent="0.3">
      <c r="A116" t="s">
        <v>160</v>
      </c>
      <c r="B116" s="1">
        <v>46111.385416666664</v>
      </c>
      <c r="C116" t="str">
        <f>"Tháng "&amp;MONTH(BanHang[[#This Row],[Ngày giờ bán]])</f>
        <v>Tháng 3</v>
      </c>
      <c r="D116" t="s">
        <v>249</v>
      </c>
      <c r="E116" t="s">
        <v>16</v>
      </c>
      <c r="F116" t="s">
        <v>103</v>
      </c>
      <c r="G116" t="s">
        <v>78</v>
      </c>
      <c r="H116" t="s">
        <v>476</v>
      </c>
      <c r="I116" s="2">
        <v>305.60000000000002</v>
      </c>
      <c r="J116" s="2">
        <v>133.9</v>
      </c>
      <c r="K116" s="3">
        <f>BanHang[[#This Row],[Diện tích (m²)]]*BanHang[[#This Row],[Đơn giá (trđ/m²)]]</f>
        <v>40919.840000000004</v>
      </c>
      <c r="L116" s="4">
        <v>0.01</v>
      </c>
      <c r="M116" t="s">
        <v>27</v>
      </c>
      <c r="N116" s="3">
        <f>IF(BanHang[[#This Row],[Trạng thái]]="Huỷ cọc",0,BanHang[[#This Row],[Giá trị hợp đồng (trđ)]]*(1-BanHang[[#This Row],[Chiết khấu (%)]]))</f>
        <v>40510.641600000003</v>
      </c>
    </row>
    <row r="117" spans="1:14" x14ac:dyDescent="0.3">
      <c r="A117" t="s">
        <v>161</v>
      </c>
      <c r="B117" s="1">
        <v>46113.385416666664</v>
      </c>
      <c r="C117" t="str">
        <f>"Tháng "&amp;MONTH(BanHang[[#This Row],[Ngày giờ bán]])</f>
        <v>Tháng 4</v>
      </c>
      <c r="D117" t="s">
        <v>408</v>
      </c>
      <c r="E117" t="s">
        <v>180</v>
      </c>
      <c r="F117" t="s">
        <v>17</v>
      </c>
      <c r="G117" t="s">
        <v>51</v>
      </c>
      <c r="H117" t="s">
        <v>157</v>
      </c>
      <c r="I117" s="2">
        <v>157.9</v>
      </c>
      <c r="J117" s="2">
        <v>28.5</v>
      </c>
      <c r="K117" s="3">
        <f>BanHang[[#This Row],[Diện tích (m²)]]*BanHang[[#This Row],[Đơn giá (trđ/m²)]]</f>
        <v>4500.1500000000005</v>
      </c>
      <c r="L117" s="4">
        <v>0.01</v>
      </c>
      <c r="M117" t="s">
        <v>53</v>
      </c>
      <c r="N117" s="3">
        <f>IF(BanHang[[#This Row],[Trạng thái]]="Huỷ cọc",0,BanHang[[#This Row],[Giá trị hợp đồng (trđ)]]*(1-BanHang[[#This Row],[Chiết khấu (%)]]))</f>
        <v>4455.1485000000002</v>
      </c>
    </row>
    <row r="118" spans="1:14" x14ac:dyDescent="0.3">
      <c r="A118" t="s">
        <v>162</v>
      </c>
      <c r="B118" s="1">
        <v>46113.479166666672</v>
      </c>
      <c r="C118" t="str">
        <f>"Tháng "&amp;MONTH(BanHang[[#This Row],[Ngày giờ bán]])</f>
        <v>Tháng 4</v>
      </c>
      <c r="D118" t="s">
        <v>225</v>
      </c>
      <c r="E118" t="s">
        <v>180</v>
      </c>
      <c r="F118" t="s">
        <v>107</v>
      </c>
      <c r="G118" t="s">
        <v>18</v>
      </c>
      <c r="H118" t="s">
        <v>52</v>
      </c>
      <c r="I118" s="2">
        <v>204.6</v>
      </c>
      <c r="J118" s="2">
        <v>53.5</v>
      </c>
      <c r="K118" s="3">
        <f>BanHang[[#This Row],[Diện tích (m²)]]*BanHang[[#This Row],[Đơn giá (trđ/m²)]]</f>
        <v>10946.1</v>
      </c>
      <c r="L118" s="4">
        <v>0.03</v>
      </c>
      <c r="M118" t="s">
        <v>53</v>
      </c>
      <c r="N118" s="3">
        <f>IF(BanHang[[#This Row],[Trạng thái]]="Huỷ cọc",0,BanHang[[#This Row],[Giá trị hợp đồng (trđ)]]*(1-BanHang[[#This Row],[Chiết khấu (%)]]))</f>
        <v>10617.717000000001</v>
      </c>
    </row>
    <row r="119" spans="1:14" x14ac:dyDescent="0.3">
      <c r="A119" t="s">
        <v>163</v>
      </c>
      <c r="B119" s="1">
        <v>46113.697916666664</v>
      </c>
      <c r="C119" t="str">
        <f>"Tháng "&amp;MONTH(BanHang[[#This Row],[Ngày giờ bán]])</f>
        <v>Tháng 4</v>
      </c>
      <c r="D119" t="s">
        <v>479</v>
      </c>
      <c r="E119" t="s">
        <v>23</v>
      </c>
      <c r="F119" t="s">
        <v>77</v>
      </c>
      <c r="G119" t="s">
        <v>78</v>
      </c>
      <c r="H119" t="s">
        <v>157</v>
      </c>
      <c r="I119" s="2">
        <v>88.9</v>
      </c>
      <c r="J119" s="2">
        <v>128.5</v>
      </c>
      <c r="K119" s="3">
        <f>BanHang[[#This Row],[Diện tích (m²)]]*BanHang[[#This Row],[Đơn giá (trđ/m²)]]</f>
        <v>11423.650000000001</v>
      </c>
      <c r="L119" s="4">
        <v>0.03</v>
      </c>
      <c r="M119" t="s">
        <v>53</v>
      </c>
      <c r="N119" s="3">
        <f>IF(BanHang[[#This Row],[Trạng thái]]="Huỷ cọc",0,BanHang[[#This Row],[Giá trị hợp đồng (trđ)]]*(1-BanHang[[#This Row],[Chiết khấu (%)]]))</f>
        <v>11080.940500000001</v>
      </c>
    </row>
    <row r="120" spans="1:14" x14ac:dyDescent="0.3">
      <c r="A120" t="s">
        <v>164</v>
      </c>
      <c r="B120" s="1">
        <v>46114.40625</v>
      </c>
      <c r="C120" t="str">
        <f>"Tháng "&amp;MONTH(BanHang[[#This Row],[Ngày giờ bán]])</f>
        <v>Tháng 4</v>
      </c>
      <c r="D120" t="s">
        <v>105</v>
      </c>
      <c r="E120" t="s">
        <v>23</v>
      </c>
      <c r="F120" t="s">
        <v>24</v>
      </c>
      <c r="G120" t="s">
        <v>78</v>
      </c>
      <c r="H120" t="s">
        <v>157</v>
      </c>
      <c r="I120" s="2">
        <v>90.6</v>
      </c>
      <c r="J120" s="2">
        <v>93.3</v>
      </c>
      <c r="K120" s="3">
        <f>BanHang[[#This Row],[Diện tích (m²)]]*BanHang[[#This Row],[Đơn giá (trđ/m²)]]</f>
        <v>8452.98</v>
      </c>
      <c r="L120" s="4">
        <v>0.02</v>
      </c>
      <c r="M120" t="s">
        <v>53</v>
      </c>
      <c r="N120" s="3">
        <f>IF(BanHang[[#This Row],[Trạng thái]]="Huỷ cọc",0,BanHang[[#This Row],[Giá trị hợp đồng (trđ)]]*(1-BanHang[[#This Row],[Chiết khấu (%)]]))</f>
        <v>8283.9203999999991</v>
      </c>
    </row>
    <row r="121" spans="1:14" x14ac:dyDescent="0.3">
      <c r="A121" t="s">
        <v>165</v>
      </c>
      <c r="B121" s="1">
        <v>46114.5</v>
      </c>
      <c r="C121" t="str">
        <f>"Tháng "&amp;MONTH(BanHang[[#This Row],[Ngày giờ bán]])</f>
        <v>Tháng 4</v>
      </c>
      <c r="D121" t="s">
        <v>76</v>
      </c>
      <c r="E121" t="s">
        <v>50</v>
      </c>
      <c r="F121" t="s">
        <v>17</v>
      </c>
      <c r="G121" t="s">
        <v>108</v>
      </c>
      <c r="H121" t="s">
        <v>109</v>
      </c>
      <c r="I121" s="2">
        <v>77.599999999999994</v>
      </c>
      <c r="J121" s="2">
        <v>49</v>
      </c>
      <c r="K121" s="3">
        <f>BanHang[[#This Row],[Diện tích (m²)]]*BanHang[[#This Row],[Đơn giá (trđ/m²)]]</f>
        <v>3802.3999999999996</v>
      </c>
      <c r="L121" s="4">
        <v>0.05</v>
      </c>
      <c r="M121" t="s">
        <v>53</v>
      </c>
      <c r="N121" s="3">
        <f>IF(BanHang[[#This Row],[Trạng thái]]="Huỷ cọc",0,BanHang[[#This Row],[Giá trị hợp đồng (trđ)]]*(1-BanHang[[#This Row],[Chiết khấu (%)]]))</f>
        <v>3612.2799999999993</v>
      </c>
    </row>
    <row r="122" spans="1:14" x14ac:dyDescent="0.3">
      <c r="A122" t="s">
        <v>166</v>
      </c>
      <c r="B122" s="1">
        <v>46114.625</v>
      </c>
      <c r="C122" t="str">
        <f>"Tháng "&amp;MONTH(BanHang[[#This Row],[Ngày giờ bán]])</f>
        <v>Tháng 4</v>
      </c>
      <c r="D122" t="s">
        <v>111</v>
      </c>
      <c r="E122" t="s">
        <v>50</v>
      </c>
      <c r="F122" t="s">
        <v>156</v>
      </c>
      <c r="G122" t="s">
        <v>108</v>
      </c>
      <c r="H122" t="s">
        <v>134</v>
      </c>
      <c r="I122" s="2">
        <v>85.1</v>
      </c>
      <c r="J122" s="2">
        <v>53.4</v>
      </c>
      <c r="K122" s="3">
        <f>BanHang[[#This Row],[Diện tích (m²)]]*BanHang[[#This Row],[Đơn giá (trđ/m²)]]</f>
        <v>4544.3399999999992</v>
      </c>
      <c r="L122" s="4">
        <v>0.05</v>
      </c>
      <c r="M122" t="s">
        <v>27</v>
      </c>
      <c r="N122" s="3">
        <f>IF(BanHang[[#This Row],[Trạng thái]]="Huỷ cọc",0,BanHang[[#This Row],[Giá trị hợp đồng (trđ)]]*(1-BanHang[[#This Row],[Chiết khấu (%)]]))</f>
        <v>4317.1229999999987</v>
      </c>
    </row>
    <row r="123" spans="1:14" x14ac:dyDescent="0.3">
      <c r="A123" t="s">
        <v>167</v>
      </c>
      <c r="B123" s="1">
        <v>46114.6875</v>
      </c>
      <c r="C123" t="str">
        <f>"Tháng "&amp;MONTH(BanHang[[#This Row],[Ngày giờ bán]])</f>
        <v>Tháng 4</v>
      </c>
      <c r="D123" t="s">
        <v>49</v>
      </c>
      <c r="E123" t="s">
        <v>50</v>
      </c>
      <c r="F123" t="s">
        <v>77</v>
      </c>
      <c r="G123" t="s">
        <v>108</v>
      </c>
      <c r="H123" t="s">
        <v>476</v>
      </c>
      <c r="I123" s="2">
        <v>68.599999999999994</v>
      </c>
      <c r="J123" s="2">
        <v>50.7</v>
      </c>
      <c r="K123" s="3">
        <f>BanHang[[#This Row],[Diện tích (m²)]]*BanHang[[#This Row],[Đơn giá (trđ/m²)]]</f>
        <v>3478.02</v>
      </c>
      <c r="L123" s="4">
        <v>0.08</v>
      </c>
      <c r="M123" t="s">
        <v>20</v>
      </c>
      <c r="N123" s="3">
        <f>IF(BanHang[[#This Row],[Trạng thái]]="Huỷ cọc",0,BanHang[[#This Row],[Giá trị hợp đồng (trđ)]]*(1-BanHang[[#This Row],[Chiết khấu (%)]]))</f>
        <v>0</v>
      </c>
    </row>
    <row r="124" spans="1:14" x14ac:dyDescent="0.3">
      <c r="A124" t="s">
        <v>168</v>
      </c>
      <c r="B124" s="1">
        <v>46114.708333333336</v>
      </c>
      <c r="C124" t="str">
        <f>"Tháng "&amp;MONTH(BanHang[[#This Row],[Ngày giờ bán]])</f>
        <v>Tháng 4</v>
      </c>
      <c r="D124" t="s">
        <v>225</v>
      </c>
      <c r="E124" t="s">
        <v>180</v>
      </c>
      <c r="F124" t="s">
        <v>24</v>
      </c>
      <c r="G124" t="s">
        <v>51</v>
      </c>
      <c r="H124" t="s">
        <v>134</v>
      </c>
      <c r="I124" s="2">
        <v>118.5</v>
      </c>
      <c r="J124" s="2">
        <v>43</v>
      </c>
      <c r="K124" s="3">
        <f>BanHang[[#This Row],[Diện tích (m²)]]*BanHang[[#This Row],[Đơn giá (trđ/m²)]]</f>
        <v>5095.5</v>
      </c>
      <c r="L124" s="4">
        <v>0.03</v>
      </c>
      <c r="M124" t="s">
        <v>53</v>
      </c>
      <c r="N124" s="3">
        <f>IF(BanHang[[#This Row],[Trạng thái]]="Huỷ cọc",0,BanHang[[#This Row],[Giá trị hợp đồng (trđ)]]*(1-BanHang[[#This Row],[Chiết khấu (%)]]))</f>
        <v>4942.6350000000002</v>
      </c>
    </row>
    <row r="125" spans="1:14" x14ac:dyDescent="0.3">
      <c r="A125" t="s">
        <v>169</v>
      </c>
      <c r="B125" s="1">
        <v>46115.739583333336</v>
      </c>
      <c r="C125" t="str">
        <f>"Tháng "&amp;MONTH(BanHang[[#This Row],[Ngày giờ bán]])</f>
        <v>Tháng 4</v>
      </c>
      <c r="D125" t="s">
        <v>76</v>
      </c>
      <c r="E125" t="s">
        <v>50</v>
      </c>
      <c r="F125" t="s">
        <v>107</v>
      </c>
      <c r="G125" t="s">
        <v>25</v>
      </c>
      <c r="H125" t="s">
        <v>19</v>
      </c>
      <c r="I125" s="2">
        <v>77.7</v>
      </c>
      <c r="J125" s="2">
        <v>76</v>
      </c>
      <c r="K125" s="3">
        <f>BanHang[[#This Row],[Diện tích (m²)]]*BanHang[[#This Row],[Đơn giá (trđ/m²)]]</f>
        <v>5905.2</v>
      </c>
      <c r="L125" s="4">
        <v>7.0000000000000007E-2</v>
      </c>
      <c r="M125" t="s">
        <v>53</v>
      </c>
      <c r="N125" s="3">
        <f>IF(BanHang[[#This Row],[Trạng thái]]="Huỷ cọc",0,BanHang[[#This Row],[Giá trị hợp đồng (trđ)]]*(1-BanHang[[#This Row],[Chiết khấu (%)]]))</f>
        <v>5491.8359999999993</v>
      </c>
    </row>
    <row r="126" spans="1:14" x14ac:dyDescent="0.3">
      <c r="A126" t="s">
        <v>170</v>
      </c>
      <c r="B126" s="1">
        <v>46116.708333333336</v>
      </c>
      <c r="C126" t="str">
        <f>"Tháng "&amp;MONTH(BanHang[[#This Row],[Ngày giờ bán]])</f>
        <v>Tháng 4</v>
      </c>
      <c r="D126" t="s">
        <v>49</v>
      </c>
      <c r="E126" t="s">
        <v>50</v>
      </c>
      <c r="F126" t="s">
        <v>103</v>
      </c>
      <c r="G126" t="s">
        <v>51</v>
      </c>
      <c r="H126" t="s">
        <v>226</v>
      </c>
      <c r="I126" s="2">
        <v>77.3</v>
      </c>
      <c r="J126" s="2">
        <v>45.8</v>
      </c>
      <c r="K126" s="3">
        <f>BanHang[[#This Row],[Diện tích (m²)]]*BanHang[[#This Row],[Đơn giá (trđ/m²)]]</f>
        <v>3540.3399999999997</v>
      </c>
      <c r="L126" s="4">
        <v>7.0000000000000007E-2</v>
      </c>
      <c r="M126" t="s">
        <v>53</v>
      </c>
      <c r="N126" s="3">
        <f>IF(BanHang[[#This Row],[Trạng thái]]="Huỷ cọc",0,BanHang[[#This Row],[Giá trị hợp đồng (trđ)]]*(1-BanHang[[#This Row],[Chiết khấu (%)]]))</f>
        <v>3292.5161999999996</v>
      </c>
    </row>
    <row r="127" spans="1:14" x14ac:dyDescent="0.3">
      <c r="A127" t="s">
        <v>171</v>
      </c>
      <c r="B127" s="1">
        <v>46116.8125</v>
      </c>
      <c r="C127" t="str">
        <f>"Tháng "&amp;MONTH(BanHang[[#This Row],[Ngày giờ bán]])</f>
        <v>Tháng 4</v>
      </c>
      <c r="D127" t="s">
        <v>383</v>
      </c>
      <c r="E127" t="s">
        <v>384</v>
      </c>
      <c r="F127" t="s">
        <v>24</v>
      </c>
      <c r="G127" t="s">
        <v>18</v>
      </c>
      <c r="H127" t="s">
        <v>109</v>
      </c>
      <c r="I127" s="2">
        <v>56</v>
      </c>
      <c r="J127" s="2">
        <v>62.7</v>
      </c>
      <c r="K127" s="3">
        <f>BanHang[[#This Row],[Diện tích (m²)]]*BanHang[[#This Row],[Đơn giá (trđ/m²)]]</f>
        <v>3511.2000000000003</v>
      </c>
      <c r="L127" s="4">
        <v>0.03</v>
      </c>
      <c r="M127" t="s">
        <v>27</v>
      </c>
      <c r="N127" s="3">
        <f>IF(BanHang[[#This Row],[Trạng thái]]="Huỷ cọc",0,BanHang[[#This Row],[Giá trị hợp đồng (trđ)]]*(1-BanHang[[#This Row],[Chiết khấu (%)]]))</f>
        <v>3405.864</v>
      </c>
    </row>
    <row r="128" spans="1:14" x14ac:dyDescent="0.3">
      <c r="A128" t="s">
        <v>172</v>
      </c>
      <c r="B128" s="1">
        <v>46118.677083333328</v>
      </c>
      <c r="C128" t="str">
        <f>"Tháng "&amp;MONTH(BanHang[[#This Row],[Ngày giờ bán]])</f>
        <v>Tháng 4</v>
      </c>
      <c r="D128" t="s">
        <v>179</v>
      </c>
      <c r="E128" t="s">
        <v>180</v>
      </c>
      <c r="F128" t="s">
        <v>17</v>
      </c>
      <c r="G128" t="s">
        <v>25</v>
      </c>
      <c r="H128" t="s">
        <v>476</v>
      </c>
      <c r="I128" s="2">
        <v>116.7</v>
      </c>
      <c r="J128" s="2">
        <v>42.8</v>
      </c>
      <c r="K128" s="3">
        <f>BanHang[[#This Row],[Diện tích (m²)]]*BanHang[[#This Row],[Đơn giá (trđ/m²)]]</f>
        <v>4994.76</v>
      </c>
      <c r="L128" s="4">
        <v>0.01</v>
      </c>
      <c r="M128" t="s">
        <v>20</v>
      </c>
      <c r="N128" s="3">
        <f>IF(BanHang[[#This Row],[Trạng thái]]="Huỷ cọc",0,BanHang[[#This Row],[Giá trị hợp đồng (trđ)]]*(1-BanHang[[#This Row],[Chiết khấu (%)]]))</f>
        <v>0</v>
      </c>
    </row>
    <row r="129" spans="1:14" x14ac:dyDescent="0.3">
      <c r="A129" t="s">
        <v>173</v>
      </c>
      <c r="B129" s="1">
        <v>46118.760416666664</v>
      </c>
      <c r="C129" t="str">
        <f>"Tháng "&amp;MONTH(BanHang[[#This Row],[Ngày giờ bán]])</f>
        <v>Tháng 4</v>
      </c>
      <c r="D129" t="s">
        <v>408</v>
      </c>
      <c r="E129" t="s">
        <v>180</v>
      </c>
      <c r="F129" t="s">
        <v>77</v>
      </c>
      <c r="G129" t="s">
        <v>51</v>
      </c>
      <c r="H129" t="s">
        <v>476</v>
      </c>
      <c r="I129" s="2">
        <v>172.4</v>
      </c>
      <c r="J129" s="2">
        <v>29</v>
      </c>
      <c r="K129" s="3">
        <f>BanHang[[#This Row],[Diện tích (m²)]]*BanHang[[#This Row],[Đơn giá (trđ/m²)]]</f>
        <v>4999.6000000000004</v>
      </c>
      <c r="L129" s="4">
        <v>0.05</v>
      </c>
      <c r="M129" t="s">
        <v>27</v>
      </c>
      <c r="N129" s="3">
        <f>IF(BanHang[[#This Row],[Trạng thái]]="Huỷ cọc",0,BanHang[[#This Row],[Giá trị hợp đồng (trđ)]]*(1-BanHang[[#This Row],[Chiết khấu (%)]]))</f>
        <v>4749.62</v>
      </c>
    </row>
    <row r="130" spans="1:14" x14ac:dyDescent="0.3">
      <c r="A130" t="s">
        <v>174</v>
      </c>
      <c r="B130" s="1">
        <v>46119.645833333336</v>
      </c>
      <c r="C130" t="str">
        <f>"Tháng "&amp;MONTH(BanHang[[#This Row],[Ngày giờ bán]])</f>
        <v>Tháng 4</v>
      </c>
      <c r="D130" t="s">
        <v>111</v>
      </c>
      <c r="E130" t="s">
        <v>50</v>
      </c>
      <c r="F130" t="s">
        <v>156</v>
      </c>
      <c r="G130" t="s">
        <v>51</v>
      </c>
      <c r="H130" t="s">
        <v>476</v>
      </c>
      <c r="I130" s="2">
        <v>59.1</v>
      </c>
      <c r="J130" s="2">
        <v>68.2</v>
      </c>
      <c r="K130" s="3">
        <f>BanHang[[#This Row],[Diện tích (m²)]]*BanHang[[#This Row],[Đơn giá (trđ/m²)]]</f>
        <v>4030.6200000000003</v>
      </c>
      <c r="L130" s="4">
        <v>0.03</v>
      </c>
      <c r="M130" t="s">
        <v>27</v>
      </c>
      <c r="N130" s="3">
        <f>IF(BanHang[[#This Row],[Trạng thái]]="Huỷ cọc",0,BanHang[[#This Row],[Giá trị hợp đồng (trđ)]]*(1-BanHang[[#This Row],[Chiết khấu (%)]]))</f>
        <v>3909.7014000000004</v>
      </c>
    </row>
    <row r="131" spans="1:14" x14ac:dyDescent="0.3">
      <c r="A131" t="s">
        <v>175</v>
      </c>
      <c r="B131" s="1">
        <v>46119.71875</v>
      </c>
      <c r="C131" t="str">
        <f>"Tháng "&amp;MONTH(BanHang[[#This Row],[Ngày giờ bán]])</f>
        <v>Tháng 4</v>
      </c>
      <c r="D131" t="s">
        <v>111</v>
      </c>
      <c r="E131" t="s">
        <v>50</v>
      </c>
      <c r="F131" t="s">
        <v>17</v>
      </c>
      <c r="G131" t="s">
        <v>51</v>
      </c>
      <c r="H131" t="s">
        <v>79</v>
      </c>
      <c r="I131" s="2">
        <v>82.7</v>
      </c>
      <c r="J131" s="2">
        <v>44.1</v>
      </c>
      <c r="K131" s="3">
        <f>BanHang[[#This Row],[Diện tích (m²)]]*BanHang[[#This Row],[Đơn giá (trđ/m²)]]</f>
        <v>3647.07</v>
      </c>
      <c r="L131" s="4">
        <v>0.05</v>
      </c>
      <c r="M131" t="s">
        <v>20</v>
      </c>
      <c r="N131" s="3">
        <f>IF(BanHang[[#This Row],[Trạng thái]]="Huỷ cọc",0,BanHang[[#This Row],[Giá trị hợp đồng (trđ)]]*(1-BanHang[[#This Row],[Chiết khấu (%)]]))</f>
        <v>0</v>
      </c>
    </row>
    <row r="132" spans="1:14" x14ac:dyDescent="0.3">
      <c r="A132" t="s">
        <v>176</v>
      </c>
      <c r="B132" s="1">
        <v>46120.34375</v>
      </c>
      <c r="C132" t="str">
        <f>"Tháng "&amp;MONTH(BanHang[[#This Row],[Ngày giờ bán]])</f>
        <v>Tháng 4</v>
      </c>
      <c r="D132" t="s">
        <v>383</v>
      </c>
      <c r="E132" t="s">
        <v>384</v>
      </c>
      <c r="F132" t="s">
        <v>103</v>
      </c>
      <c r="G132" t="s">
        <v>108</v>
      </c>
      <c r="H132" t="s">
        <v>406</v>
      </c>
      <c r="I132" s="2">
        <v>47.1</v>
      </c>
      <c r="J132" s="2">
        <v>68.599999999999994</v>
      </c>
      <c r="K132" s="3">
        <f>BanHang[[#This Row],[Diện tích (m²)]]*BanHang[[#This Row],[Đơn giá (trđ/m²)]]</f>
        <v>3231.06</v>
      </c>
      <c r="L132" s="4">
        <v>0</v>
      </c>
      <c r="M132" t="s">
        <v>53</v>
      </c>
      <c r="N132" s="3">
        <f>IF(BanHang[[#This Row],[Trạng thái]]="Huỷ cọc",0,BanHang[[#This Row],[Giá trị hợp đồng (trđ)]]*(1-BanHang[[#This Row],[Chiết khấu (%)]]))</f>
        <v>3231.06</v>
      </c>
    </row>
    <row r="133" spans="1:14" x14ac:dyDescent="0.3">
      <c r="A133" t="s">
        <v>177</v>
      </c>
      <c r="B133" s="1">
        <v>46120.40625</v>
      </c>
      <c r="C133" t="str">
        <f>"Tháng "&amp;MONTH(BanHang[[#This Row],[Ngày giờ bán]])</f>
        <v>Tháng 4</v>
      </c>
      <c r="D133" t="s">
        <v>249</v>
      </c>
      <c r="E133" t="s">
        <v>16</v>
      </c>
      <c r="F133" t="s">
        <v>156</v>
      </c>
      <c r="G133" t="s">
        <v>51</v>
      </c>
      <c r="H133" t="s">
        <v>476</v>
      </c>
      <c r="I133" s="2">
        <v>275.7</v>
      </c>
      <c r="J133" s="2">
        <v>119.2</v>
      </c>
      <c r="K133" s="3">
        <f>BanHang[[#This Row],[Diện tích (m²)]]*BanHang[[#This Row],[Đơn giá (trđ/m²)]]</f>
        <v>32863.440000000002</v>
      </c>
      <c r="L133" s="4">
        <v>0</v>
      </c>
      <c r="M133" t="s">
        <v>53</v>
      </c>
      <c r="N133" s="3">
        <f>IF(BanHang[[#This Row],[Trạng thái]]="Huỷ cọc",0,BanHang[[#This Row],[Giá trị hợp đồng (trđ)]]*(1-BanHang[[#This Row],[Chiết khấu (%)]]))</f>
        <v>32863.440000000002</v>
      </c>
    </row>
    <row r="134" spans="1:14" x14ac:dyDescent="0.3">
      <c r="A134" t="s">
        <v>178</v>
      </c>
      <c r="B134" s="1">
        <v>46120.4375</v>
      </c>
      <c r="C134" t="str">
        <f>"Tháng "&amp;MONTH(BanHang[[#This Row],[Ngày giờ bán]])</f>
        <v>Tháng 4</v>
      </c>
      <c r="D134" t="s">
        <v>105</v>
      </c>
      <c r="E134" t="s">
        <v>23</v>
      </c>
      <c r="F134" t="s">
        <v>156</v>
      </c>
      <c r="G134" t="s">
        <v>108</v>
      </c>
      <c r="H134" t="s">
        <v>406</v>
      </c>
      <c r="I134" s="2">
        <v>121.2</v>
      </c>
      <c r="J134" s="2">
        <v>79</v>
      </c>
      <c r="K134" s="3">
        <f>BanHang[[#This Row],[Diện tích (m²)]]*BanHang[[#This Row],[Đơn giá (trđ/m²)]]</f>
        <v>9574.8000000000011</v>
      </c>
      <c r="L134" s="4">
        <v>0.08</v>
      </c>
      <c r="M134" t="s">
        <v>53</v>
      </c>
      <c r="N134" s="3">
        <f>IF(BanHang[[#This Row],[Trạng thái]]="Huỷ cọc",0,BanHang[[#This Row],[Giá trị hợp đồng (trđ)]]*(1-BanHang[[#This Row],[Chiết khấu (%)]]))</f>
        <v>8808.8160000000007</v>
      </c>
    </row>
    <row r="135" spans="1:14" x14ac:dyDescent="0.3">
      <c r="A135" t="s">
        <v>181</v>
      </c>
      <c r="B135" s="1">
        <v>46120.53125</v>
      </c>
      <c r="C135" t="str">
        <f>"Tháng "&amp;MONTH(BanHang[[#This Row],[Ngày giờ bán]])</f>
        <v>Tháng 4</v>
      </c>
      <c r="D135" t="s">
        <v>477</v>
      </c>
      <c r="E135" t="s">
        <v>106</v>
      </c>
      <c r="F135" t="s">
        <v>17</v>
      </c>
      <c r="G135" t="s">
        <v>78</v>
      </c>
      <c r="H135" t="s">
        <v>476</v>
      </c>
      <c r="I135" s="2">
        <v>114.3</v>
      </c>
      <c r="J135" s="2">
        <v>151.6</v>
      </c>
      <c r="K135" s="3">
        <f>BanHang[[#This Row],[Diện tích (m²)]]*BanHang[[#This Row],[Đơn giá (trđ/m²)]]</f>
        <v>17327.879999999997</v>
      </c>
      <c r="L135" s="4">
        <v>0.01</v>
      </c>
      <c r="M135" t="s">
        <v>53</v>
      </c>
      <c r="N135" s="3">
        <f>IF(BanHang[[#This Row],[Trạng thái]]="Huỷ cọc",0,BanHang[[#This Row],[Giá trị hợp đồng (trđ)]]*(1-BanHang[[#This Row],[Chiết khấu (%)]]))</f>
        <v>17154.601199999997</v>
      </c>
    </row>
    <row r="136" spans="1:14" x14ac:dyDescent="0.3">
      <c r="A136" t="s">
        <v>182</v>
      </c>
      <c r="B136" s="1">
        <v>46120.59375</v>
      </c>
      <c r="C136" t="str">
        <f>"Tháng "&amp;MONTH(BanHang[[#This Row],[Ngày giờ bán]])</f>
        <v>Tháng 4</v>
      </c>
      <c r="D136" t="s">
        <v>225</v>
      </c>
      <c r="E136" t="s">
        <v>180</v>
      </c>
      <c r="F136" t="s">
        <v>103</v>
      </c>
      <c r="G136" t="s">
        <v>18</v>
      </c>
      <c r="H136" t="s">
        <v>109</v>
      </c>
      <c r="I136" s="2">
        <v>215.6</v>
      </c>
      <c r="J136" s="2">
        <v>55.6</v>
      </c>
      <c r="K136" s="3">
        <f>BanHang[[#This Row],[Diện tích (m²)]]*BanHang[[#This Row],[Đơn giá (trđ/m²)]]</f>
        <v>11987.36</v>
      </c>
      <c r="L136" s="4">
        <v>0.02</v>
      </c>
      <c r="M136" t="s">
        <v>27</v>
      </c>
      <c r="N136" s="3">
        <f>IF(BanHang[[#This Row],[Trạng thái]]="Huỷ cọc",0,BanHang[[#This Row],[Giá trị hợp đồng (trđ)]]*(1-BanHang[[#This Row],[Chiết khấu (%)]]))</f>
        <v>11747.612800000001</v>
      </c>
    </row>
    <row r="137" spans="1:14" x14ac:dyDescent="0.3">
      <c r="A137" t="s">
        <v>183</v>
      </c>
      <c r="B137" s="1">
        <v>46121.5625</v>
      </c>
      <c r="C137" t="str">
        <f>"Tháng "&amp;MONTH(BanHang[[#This Row],[Ngày giờ bán]])</f>
        <v>Tháng 4</v>
      </c>
      <c r="D137" t="s">
        <v>408</v>
      </c>
      <c r="E137" t="s">
        <v>180</v>
      </c>
      <c r="F137" t="s">
        <v>103</v>
      </c>
      <c r="G137" t="s">
        <v>51</v>
      </c>
      <c r="H137" t="s">
        <v>226</v>
      </c>
      <c r="I137" s="2">
        <v>173.2</v>
      </c>
      <c r="J137" s="2">
        <v>24.8</v>
      </c>
      <c r="K137" s="3">
        <f>BanHang[[#This Row],[Diện tích (m²)]]*BanHang[[#This Row],[Đơn giá (trđ/m²)]]</f>
        <v>4295.3599999999997</v>
      </c>
      <c r="L137" s="4">
        <v>0.02</v>
      </c>
      <c r="M137" t="s">
        <v>20</v>
      </c>
      <c r="N137" s="3">
        <f>IF(BanHang[[#This Row],[Trạng thái]]="Huỷ cọc",0,BanHang[[#This Row],[Giá trị hợp đồng (trđ)]]*(1-BanHang[[#This Row],[Chiết khấu (%)]]))</f>
        <v>0</v>
      </c>
    </row>
    <row r="138" spans="1:14" x14ac:dyDescent="0.3">
      <c r="A138" t="s">
        <v>184</v>
      </c>
      <c r="B138" s="1">
        <v>46122.354166666672</v>
      </c>
      <c r="C138" t="str">
        <f>"Tháng "&amp;MONTH(BanHang[[#This Row],[Ngày giờ bán]])</f>
        <v>Tháng 4</v>
      </c>
      <c r="D138" t="s">
        <v>49</v>
      </c>
      <c r="E138" t="s">
        <v>50</v>
      </c>
      <c r="F138" t="s">
        <v>77</v>
      </c>
      <c r="G138" t="s">
        <v>51</v>
      </c>
      <c r="H138" t="s">
        <v>26</v>
      </c>
      <c r="I138" s="2">
        <v>81.3</v>
      </c>
      <c r="J138" s="2">
        <v>65</v>
      </c>
      <c r="K138" s="3">
        <f>BanHang[[#This Row],[Diện tích (m²)]]*BanHang[[#This Row],[Đơn giá (trđ/m²)]]</f>
        <v>5284.5</v>
      </c>
      <c r="L138" s="4">
        <v>0.01</v>
      </c>
      <c r="M138" t="s">
        <v>53</v>
      </c>
      <c r="N138" s="3">
        <f>IF(BanHang[[#This Row],[Trạng thái]]="Huỷ cọc",0,BanHang[[#This Row],[Giá trị hợp đồng (trđ)]]*(1-BanHang[[#This Row],[Chiết khấu (%)]]))</f>
        <v>5231.6549999999997</v>
      </c>
    </row>
    <row r="139" spans="1:14" x14ac:dyDescent="0.3">
      <c r="A139" t="s">
        <v>185</v>
      </c>
      <c r="B139" s="1">
        <v>46122.46875</v>
      </c>
      <c r="C139" t="str">
        <f>"Tháng "&amp;MONTH(BanHang[[#This Row],[Ngày giờ bán]])</f>
        <v>Tháng 4</v>
      </c>
      <c r="D139" t="s">
        <v>15</v>
      </c>
      <c r="E139" t="s">
        <v>16</v>
      </c>
      <c r="F139" t="s">
        <v>77</v>
      </c>
      <c r="G139" t="s">
        <v>51</v>
      </c>
      <c r="H139" t="s">
        <v>226</v>
      </c>
      <c r="I139" s="2">
        <v>335.4</v>
      </c>
      <c r="J139" s="2">
        <v>121.4</v>
      </c>
      <c r="K139" s="3">
        <f>BanHang[[#This Row],[Diện tích (m²)]]*BanHang[[#This Row],[Đơn giá (trđ/m²)]]</f>
        <v>40717.56</v>
      </c>
      <c r="L139" s="4">
        <v>0.03</v>
      </c>
      <c r="M139" t="s">
        <v>53</v>
      </c>
      <c r="N139" s="3">
        <f>IF(BanHang[[#This Row],[Trạng thái]]="Huỷ cọc",0,BanHang[[#This Row],[Giá trị hợp đồng (trđ)]]*(1-BanHang[[#This Row],[Chiết khấu (%)]]))</f>
        <v>39496.033199999998</v>
      </c>
    </row>
    <row r="140" spans="1:14" x14ac:dyDescent="0.3">
      <c r="A140" t="s">
        <v>186</v>
      </c>
      <c r="B140" s="1">
        <v>46122.729166666672</v>
      </c>
      <c r="C140" t="str">
        <f>"Tháng "&amp;MONTH(BanHang[[#This Row],[Ngày giờ bán]])</f>
        <v>Tháng 4</v>
      </c>
      <c r="D140" t="s">
        <v>454</v>
      </c>
      <c r="E140" t="s">
        <v>106</v>
      </c>
      <c r="F140" t="s">
        <v>107</v>
      </c>
      <c r="G140" t="s">
        <v>108</v>
      </c>
      <c r="H140" t="s">
        <v>157</v>
      </c>
      <c r="I140" s="2">
        <v>120</v>
      </c>
      <c r="J140" s="2">
        <v>140.6</v>
      </c>
      <c r="K140" s="3">
        <f>BanHang[[#This Row],[Diện tích (m²)]]*BanHang[[#This Row],[Đơn giá (trđ/m²)]]</f>
        <v>16872</v>
      </c>
      <c r="L140" s="4">
        <v>0</v>
      </c>
      <c r="M140" t="s">
        <v>20</v>
      </c>
      <c r="N140" s="3">
        <f>IF(BanHang[[#This Row],[Trạng thái]]="Huỷ cọc",0,BanHang[[#This Row],[Giá trị hợp đồng (trđ)]]*(1-BanHang[[#This Row],[Chiết khấu (%)]]))</f>
        <v>0</v>
      </c>
    </row>
    <row r="141" spans="1:14" x14ac:dyDescent="0.3">
      <c r="A141" t="s">
        <v>187</v>
      </c>
      <c r="B141" s="1">
        <v>46122.729166666672</v>
      </c>
      <c r="C141" t="str">
        <f>"Tháng "&amp;MONTH(BanHang[[#This Row],[Ngày giờ bán]])</f>
        <v>Tháng 4</v>
      </c>
      <c r="D141" t="s">
        <v>101</v>
      </c>
      <c r="E141" t="s">
        <v>50</v>
      </c>
      <c r="F141" t="s">
        <v>17</v>
      </c>
      <c r="G141" t="s">
        <v>51</v>
      </c>
      <c r="H141" t="s">
        <v>52</v>
      </c>
      <c r="I141" s="2">
        <v>62</v>
      </c>
      <c r="J141" s="2">
        <v>43</v>
      </c>
      <c r="K141" s="3">
        <f>BanHang[[#This Row],[Diện tích (m²)]]*BanHang[[#This Row],[Đơn giá (trđ/m²)]]</f>
        <v>2666</v>
      </c>
      <c r="L141" s="4">
        <v>0</v>
      </c>
      <c r="M141" t="s">
        <v>53</v>
      </c>
      <c r="N141" s="3">
        <f>IF(BanHang[[#This Row],[Trạng thái]]="Huỷ cọc",0,BanHang[[#This Row],[Giá trị hợp đồng (trđ)]]*(1-BanHang[[#This Row],[Chiết khấu (%)]]))</f>
        <v>2666</v>
      </c>
    </row>
    <row r="142" spans="1:14" x14ac:dyDescent="0.3">
      <c r="A142" t="s">
        <v>188</v>
      </c>
      <c r="B142" s="1">
        <v>46122.760416666664</v>
      </c>
      <c r="C142" t="str">
        <f>"Tháng "&amp;MONTH(BanHang[[#This Row],[Ngày giờ bán]])</f>
        <v>Tháng 4</v>
      </c>
      <c r="D142" t="s">
        <v>22</v>
      </c>
      <c r="E142" t="s">
        <v>23</v>
      </c>
      <c r="F142" t="s">
        <v>156</v>
      </c>
      <c r="G142" t="s">
        <v>108</v>
      </c>
      <c r="H142" t="s">
        <v>476</v>
      </c>
      <c r="I142" s="2">
        <v>146.4</v>
      </c>
      <c r="J142" s="2">
        <v>131</v>
      </c>
      <c r="K142" s="3">
        <f>BanHang[[#This Row],[Diện tích (m²)]]*BanHang[[#This Row],[Đơn giá (trđ/m²)]]</f>
        <v>19178.400000000001</v>
      </c>
      <c r="L142" s="4">
        <v>0.03</v>
      </c>
      <c r="M142" t="s">
        <v>53</v>
      </c>
      <c r="N142" s="3">
        <f>IF(BanHang[[#This Row],[Trạng thái]]="Huỷ cọc",0,BanHang[[#This Row],[Giá trị hợp đồng (trđ)]]*(1-BanHang[[#This Row],[Chiết khấu (%)]]))</f>
        <v>18603.048000000003</v>
      </c>
    </row>
    <row r="143" spans="1:14" x14ac:dyDescent="0.3">
      <c r="A143" t="s">
        <v>189</v>
      </c>
      <c r="B143" s="1">
        <v>46123.427083333328</v>
      </c>
      <c r="C143" t="str">
        <f>"Tháng "&amp;MONTH(BanHang[[#This Row],[Ngày giờ bán]])</f>
        <v>Tháng 4</v>
      </c>
      <c r="D143" t="s">
        <v>49</v>
      </c>
      <c r="E143" t="s">
        <v>50</v>
      </c>
      <c r="F143" t="s">
        <v>77</v>
      </c>
      <c r="G143" t="s">
        <v>78</v>
      </c>
      <c r="H143" t="s">
        <v>134</v>
      </c>
      <c r="I143" s="2">
        <v>65.5</v>
      </c>
      <c r="J143" s="2">
        <v>74.3</v>
      </c>
      <c r="K143" s="3">
        <f>BanHang[[#This Row],[Diện tích (m²)]]*BanHang[[#This Row],[Đơn giá (trđ/m²)]]</f>
        <v>4866.6499999999996</v>
      </c>
      <c r="L143" s="4">
        <v>0</v>
      </c>
      <c r="M143" t="s">
        <v>53</v>
      </c>
      <c r="N143" s="3">
        <f>IF(BanHang[[#This Row],[Trạng thái]]="Huỷ cọc",0,BanHang[[#This Row],[Giá trị hợp đồng (trđ)]]*(1-BanHang[[#This Row],[Chiết khấu (%)]]))</f>
        <v>4866.6499999999996</v>
      </c>
    </row>
    <row r="144" spans="1:14" x14ac:dyDescent="0.3">
      <c r="A144" t="s">
        <v>190</v>
      </c>
      <c r="B144" s="1">
        <v>46123.739583333336</v>
      </c>
      <c r="C144" t="str">
        <f>"Tháng "&amp;MONTH(BanHang[[#This Row],[Ngày giờ bán]])</f>
        <v>Tháng 4</v>
      </c>
      <c r="D144" t="s">
        <v>179</v>
      </c>
      <c r="E144" t="s">
        <v>180</v>
      </c>
      <c r="F144" t="s">
        <v>156</v>
      </c>
      <c r="G144" t="s">
        <v>108</v>
      </c>
      <c r="H144" t="s">
        <v>79</v>
      </c>
      <c r="I144" s="2">
        <v>155.9</v>
      </c>
      <c r="J144" s="2">
        <v>38.5</v>
      </c>
      <c r="K144" s="3">
        <f>BanHang[[#This Row],[Diện tích (m²)]]*BanHang[[#This Row],[Đơn giá (trđ/m²)]]</f>
        <v>6002.1500000000005</v>
      </c>
      <c r="L144" s="4">
        <v>0.02</v>
      </c>
      <c r="M144" t="s">
        <v>53</v>
      </c>
      <c r="N144" s="3">
        <f>IF(BanHang[[#This Row],[Trạng thái]]="Huỷ cọc",0,BanHang[[#This Row],[Giá trị hợp đồng (trđ)]]*(1-BanHang[[#This Row],[Chiết khấu (%)]]))</f>
        <v>5882.1070000000009</v>
      </c>
    </row>
    <row r="145" spans="1:14" x14ac:dyDescent="0.3">
      <c r="A145" t="s">
        <v>191</v>
      </c>
      <c r="B145" s="1">
        <v>46124.53125</v>
      </c>
      <c r="C145" t="str">
        <f>"Tháng "&amp;MONTH(BanHang[[#This Row],[Ngày giờ bán]])</f>
        <v>Tháng 4</v>
      </c>
      <c r="D145" t="s">
        <v>383</v>
      </c>
      <c r="E145" t="s">
        <v>384</v>
      </c>
      <c r="F145" t="s">
        <v>156</v>
      </c>
      <c r="G145" t="s">
        <v>51</v>
      </c>
      <c r="H145" t="s">
        <v>109</v>
      </c>
      <c r="I145" s="2">
        <v>62.2</v>
      </c>
      <c r="J145" s="2">
        <v>62</v>
      </c>
      <c r="K145" s="3">
        <f>BanHang[[#This Row],[Diện tích (m²)]]*BanHang[[#This Row],[Đơn giá (trđ/m²)]]</f>
        <v>3856.4</v>
      </c>
      <c r="L145" s="4">
        <v>0.05</v>
      </c>
      <c r="M145" t="s">
        <v>27</v>
      </c>
      <c r="N145" s="3">
        <f>IF(BanHang[[#This Row],[Trạng thái]]="Huỷ cọc",0,BanHang[[#This Row],[Giá trị hợp đồng (trđ)]]*(1-BanHang[[#This Row],[Chiết khấu (%)]]))</f>
        <v>3663.58</v>
      </c>
    </row>
    <row r="146" spans="1:14" x14ac:dyDescent="0.3">
      <c r="A146" t="s">
        <v>192</v>
      </c>
      <c r="B146" s="1">
        <v>46124.635416666664</v>
      </c>
      <c r="C146" t="str">
        <f>"Tháng "&amp;MONTH(BanHang[[#This Row],[Ngày giờ bán]])</f>
        <v>Tháng 4</v>
      </c>
      <c r="D146" t="s">
        <v>478</v>
      </c>
      <c r="E146" t="s">
        <v>384</v>
      </c>
      <c r="F146" t="s">
        <v>77</v>
      </c>
      <c r="G146" t="s">
        <v>108</v>
      </c>
      <c r="H146" t="s">
        <v>226</v>
      </c>
      <c r="I146" s="2">
        <v>71.5</v>
      </c>
      <c r="J146" s="2">
        <v>64.3</v>
      </c>
      <c r="K146" s="3">
        <f>BanHang[[#This Row],[Diện tích (m²)]]*BanHang[[#This Row],[Đơn giá (trđ/m²)]]</f>
        <v>4597.45</v>
      </c>
      <c r="L146" s="4">
        <v>0.03</v>
      </c>
      <c r="M146" t="s">
        <v>53</v>
      </c>
      <c r="N146" s="3">
        <f>IF(BanHang[[#This Row],[Trạng thái]]="Huỷ cọc",0,BanHang[[#This Row],[Giá trị hợp đồng (trđ)]]*(1-BanHang[[#This Row],[Chiết khấu (%)]]))</f>
        <v>4459.5264999999999</v>
      </c>
    </row>
    <row r="147" spans="1:14" x14ac:dyDescent="0.3">
      <c r="A147" t="s">
        <v>193</v>
      </c>
      <c r="B147" s="1">
        <v>46124.8125</v>
      </c>
      <c r="C147" t="str">
        <f>"Tháng "&amp;MONTH(BanHang[[#This Row],[Ngày giờ bán]])</f>
        <v>Tháng 4</v>
      </c>
      <c r="D147" t="s">
        <v>454</v>
      </c>
      <c r="E147" t="s">
        <v>106</v>
      </c>
      <c r="F147" t="s">
        <v>103</v>
      </c>
      <c r="G147" t="s">
        <v>108</v>
      </c>
      <c r="H147" t="s">
        <v>26</v>
      </c>
      <c r="I147" s="2">
        <v>165</v>
      </c>
      <c r="J147" s="2">
        <v>195.7</v>
      </c>
      <c r="K147" s="3">
        <f>BanHang[[#This Row],[Diện tích (m²)]]*BanHang[[#This Row],[Đơn giá (trđ/m²)]]</f>
        <v>32290.499999999996</v>
      </c>
      <c r="L147" s="4">
        <v>0.02</v>
      </c>
      <c r="M147" t="s">
        <v>27</v>
      </c>
      <c r="N147" s="3">
        <f>IF(BanHang[[#This Row],[Trạng thái]]="Huỷ cọc",0,BanHang[[#This Row],[Giá trị hợp đồng (trđ)]]*(1-BanHang[[#This Row],[Chiết khấu (%)]]))</f>
        <v>31644.689999999995</v>
      </c>
    </row>
    <row r="148" spans="1:14" x14ac:dyDescent="0.3">
      <c r="A148" t="s">
        <v>194</v>
      </c>
      <c r="B148" s="1">
        <v>46125.385416666664</v>
      </c>
      <c r="C148" t="str">
        <f>"Tháng "&amp;MONTH(BanHang[[#This Row],[Ngày giờ bán]])</f>
        <v>Tháng 4</v>
      </c>
      <c r="D148" t="s">
        <v>479</v>
      </c>
      <c r="E148" t="s">
        <v>23</v>
      </c>
      <c r="F148" t="s">
        <v>17</v>
      </c>
      <c r="G148" t="s">
        <v>51</v>
      </c>
      <c r="H148" t="s">
        <v>26</v>
      </c>
      <c r="I148" s="2">
        <v>159.30000000000001</v>
      </c>
      <c r="J148" s="2">
        <v>97.3</v>
      </c>
      <c r="K148" s="3">
        <f>BanHang[[#This Row],[Diện tích (m²)]]*BanHang[[#This Row],[Đơn giá (trđ/m²)]]</f>
        <v>15499.890000000001</v>
      </c>
      <c r="L148" s="4">
        <v>0</v>
      </c>
      <c r="M148" t="s">
        <v>27</v>
      </c>
      <c r="N148" s="3">
        <f>IF(BanHang[[#This Row],[Trạng thái]]="Huỷ cọc",0,BanHang[[#This Row],[Giá trị hợp đồng (trđ)]]*(1-BanHang[[#This Row],[Chiết khấu (%)]]))</f>
        <v>15499.890000000001</v>
      </c>
    </row>
    <row r="149" spans="1:14" x14ac:dyDescent="0.3">
      <c r="A149" t="s">
        <v>195</v>
      </c>
      <c r="B149" s="1">
        <v>46125.458333333336</v>
      </c>
      <c r="C149" t="str">
        <f>"Tháng "&amp;MONTH(BanHang[[#This Row],[Ngày giờ bán]])</f>
        <v>Tháng 4</v>
      </c>
      <c r="D149" t="s">
        <v>111</v>
      </c>
      <c r="E149" t="s">
        <v>50</v>
      </c>
      <c r="F149" t="s">
        <v>103</v>
      </c>
      <c r="G149" t="s">
        <v>51</v>
      </c>
      <c r="H149" t="s">
        <v>19</v>
      </c>
      <c r="I149" s="2">
        <v>75.8</v>
      </c>
      <c r="J149" s="2">
        <v>63.9</v>
      </c>
      <c r="K149" s="3">
        <f>BanHang[[#This Row],[Diện tích (m²)]]*BanHang[[#This Row],[Đơn giá (trđ/m²)]]</f>
        <v>4843.62</v>
      </c>
      <c r="L149" s="4">
        <v>0</v>
      </c>
      <c r="M149" t="s">
        <v>53</v>
      </c>
      <c r="N149" s="3">
        <f>IF(BanHang[[#This Row],[Trạng thái]]="Huỷ cọc",0,BanHang[[#This Row],[Giá trị hợp đồng (trđ)]]*(1-BanHang[[#This Row],[Chiết khấu (%)]]))</f>
        <v>4843.62</v>
      </c>
    </row>
    <row r="150" spans="1:14" x14ac:dyDescent="0.3">
      <c r="A150" t="s">
        <v>196</v>
      </c>
      <c r="B150" s="1">
        <v>46125.802083333328</v>
      </c>
      <c r="C150" t="str">
        <f>"Tháng "&amp;MONTH(BanHang[[#This Row],[Ngày giờ bán]])</f>
        <v>Tháng 4</v>
      </c>
      <c r="D150" t="s">
        <v>49</v>
      </c>
      <c r="E150" t="s">
        <v>50</v>
      </c>
      <c r="F150" t="s">
        <v>103</v>
      </c>
      <c r="G150" t="s">
        <v>51</v>
      </c>
      <c r="H150" t="s">
        <v>226</v>
      </c>
      <c r="I150" s="2">
        <v>93.1</v>
      </c>
      <c r="J150" s="2">
        <v>55.3</v>
      </c>
      <c r="K150" s="3">
        <f>BanHang[[#This Row],[Diện tích (m²)]]*BanHang[[#This Row],[Đơn giá (trđ/m²)]]</f>
        <v>5148.4299999999994</v>
      </c>
      <c r="L150" s="4">
        <v>0.08</v>
      </c>
      <c r="M150" t="s">
        <v>27</v>
      </c>
      <c r="N150" s="3">
        <f>IF(BanHang[[#This Row],[Trạng thái]]="Huỷ cọc",0,BanHang[[#This Row],[Giá trị hợp đồng (trđ)]]*(1-BanHang[[#This Row],[Chiết khấu (%)]]))</f>
        <v>4736.5555999999997</v>
      </c>
    </row>
    <row r="151" spans="1:14" x14ac:dyDescent="0.3">
      <c r="A151" t="s">
        <v>197</v>
      </c>
      <c r="B151" s="1">
        <v>46125.822916666664</v>
      </c>
      <c r="C151" t="str">
        <f>"Tháng "&amp;MONTH(BanHang[[#This Row],[Ngày giờ bán]])</f>
        <v>Tháng 4</v>
      </c>
      <c r="D151" t="s">
        <v>101</v>
      </c>
      <c r="E151" t="s">
        <v>50</v>
      </c>
      <c r="F151" t="s">
        <v>103</v>
      </c>
      <c r="G151" t="s">
        <v>51</v>
      </c>
      <c r="H151" t="s">
        <v>157</v>
      </c>
      <c r="I151" s="2">
        <v>78.599999999999994</v>
      </c>
      <c r="J151" s="2">
        <v>76.5</v>
      </c>
      <c r="K151" s="3">
        <f>BanHang[[#This Row],[Diện tích (m²)]]*BanHang[[#This Row],[Đơn giá (trđ/m²)]]</f>
        <v>6012.9</v>
      </c>
      <c r="L151" s="4">
        <v>0</v>
      </c>
      <c r="M151" t="s">
        <v>53</v>
      </c>
      <c r="N151" s="3">
        <f>IF(BanHang[[#This Row],[Trạng thái]]="Huỷ cọc",0,BanHang[[#This Row],[Giá trị hợp đồng (trđ)]]*(1-BanHang[[#This Row],[Chiết khấu (%)]]))</f>
        <v>6012.9</v>
      </c>
    </row>
    <row r="152" spans="1:14" x14ac:dyDescent="0.3">
      <c r="A152" t="s">
        <v>198</v>
      </c>
      <c r="B152" s="1">
        <v>46126.364583333336</v>
      </c>
      <c r="C152" t="str">
        <f>"Tháng "&amp;MONTH(BanHang[[#This Row],[Ngày giờ bán]])</f>
        <v>Tháng 4</v>
      </c>
      <c r="D152" t="s">
        <v>76</v>
      </c>
      <c r="E152" t="s">
        <v>50</v>
      </c>
      <c r="F152" t="s">
        <v>77</v>
      </c>
      <c r="G152" t="s">
        <v>108</v>
      </c>
      <c r="H152" t="s">
        <v>476</v>
      </c>
      <c r="I152" s="2">
        <v>70.3</v>
      </c>
      <c r="J152" s="2">
        <v>45.8</v>
      </c>
      <c r="K152" s="3">
        <f>BanHang[[#This Row],[Diện tích (m²)]]*BanHang[[#This Row],[Đơn giá (trđ/m²)]]</f>
        <v>3219.74</v>
      </c>
      <c r="L152" s="4">
        <v>0.08</v>
      </c>
      <c r="M152" t="s">
        <v>53</v>
      </c>
      <c r="N152" s="3">
        <f>IF(BanHang[[#This Row],[Trạng thái]]="Huỷ cọc",0,BanHang[[#This Row],[Giá trị hợp đồng (trđ)]]*(1-BanHang[[#This Row],[Chiết khấu (%)]]))</f>
        <v>2962.1608000000001</v>
      </c>
    </row>
    <row r="153" spans="1:14" x14ac:dyDescent="0.3">
      <c r="A153" t="s">
        <v>199</v>
      </c>
      <c r="B153" s="1">
        <v>46127.364583333336</v>
      </c>
      <c r="C153" t="str">
        <f>"Tháng "&amp;MONTH(BanHang[[#This Row],[Ngày giờ bán]])</f>
        <v>Tháng 4</v>
      </c>
      <c r="D153" t="s">
        <v>179</v>
      </c>
      <c r="E153" t="s">
        <v>180</v>
      </c>
      <c r="F153" t="s">
        <v>77</v>
      </c>
      <c r="G153" t="s">
        <v>78</v>
      </c>
      <c r="H153" t="s">
        <v>26</v>
      </c>
      <c r="I153" s="2">
        <v>207</v>
      </c>
      <c r="J153" s="2">
        <v>29.1</v>
      </c>
      <c r="K153" s="3">
        <f>BanHang[[#This Row],[Diện tích (m²)]]*BanHang[[#This Row],[Đơn giá (trđ/m²)]]</f>
        <v>6023.7000000000007</v>
      </c>
      <c r="L153" s="4">
        <v>0.08</v>
      </c>
      <c r="M153" t="s">
        <v>53</v>
      </c>
      <c r="N153" s="3">
        <f>IF(BanHang[[#This Row],[Trạng thái]]="Huỷ cọc",0,BanHang[[#This Row],[Giá trị hợp đồng (trđ)]]*(1-BanHang[[#This Row],[Chiết khấu (%)]]))</f>
        <v>5541.804000000001</v>
      </c>
    </row>
    <row r="154" spans="1:14" x14ac:dyDescent="0.3">
      <c r="A154" t="s">
        <v>200</v>
      </c>
      <c r="B154" s="1">
        <v>46127.739583333336</v>
      </c>
      <c r="C154" t="str">
        <f>"Tháng "&amp;MONTH(BanHang[[#This Row],[Ngày giờ bán]])</f>
        <v>Tháng 4</v>
      </c>
      <c r="D154" t="s">
        <v>76</v>
      </c>
      <c r="E154" t="s">
        <v>50</v>
      </c>
      <c r="F154" t="s">
        <v>156</v>
      </c>
      <c r="G154" t="s">
        <v>51</v>
      </c>
      <c r="H154" t="s">
        <v>406</v>
      </c>
      <c r="I154" s="2">
        <v>76</v>
      </c>
      <c r="J154" s="2">
        <v>52.7</v>
      </c>
      <c r="K154" s="3">
        <f>BanHang[[#This Row],[Diện tích (m²)]]*BanHang[[#This Row],[Đơn giá (trđ/m²)]]</f>
        <v>4005.2000000000003</v>
      </c>
      <c r="L154" s="4">
        <v>0</v>
      </c>
      <c r="M154" t="s">
        <v>53</v>
      </c>
      <c r="N154" s="3">
        <f>IF(BanHang[[#This Row],[Trạng thái]]="Huỷ cọc",0,BanHang[[#This Row],[Giá trị hợp đồng (trđ)]]*(1-BanHang[[#This Row],[Chiết khấu (%)]]))</f>
        <v>4005.2000000000003</v>
      </c>
    </row>
    <row r="155" spans="1:14" x14ac:dyDescent="0.3">
      <c r="A155" t="s">
        <v>201</v>
      </c>
      <c r="B155" s="1">
        <v>46128.40625</v>
      </c>
      <c r="C155" t="str">
        <f>"Tháng "&amp;MONTH(BanHang[[#This Row],[Ngày giờ bán]])</f>
        <v>Tháng 4</v>
      </c>
      <c r="D155" t="s">
        <v>49</v>
      </c>
      <c r="E155" t="s">
        <v>50</v>
      </c>
      <c r="F155" t="s">
        <v>17</v>
      </c>
      <c r="G155" t="s">
        <v>51</v>
      </c>
      <c r="H155" t="s">
        <v>52</v>
      </c>
      <c r="I155" s="2">
        <v>59.9</v>
      </c>
      <c r="J155" s="2">
        <v>65.599999999999994</v>
      </c>
      <c r="K155" s="3">
        <f>BanHang[[#This Row],[Diện tích (m²)]]*BanHang[[#This Row],[Đơn giá (trđ/m²)]]</f>
        <v>3929.4399999999996</v>
      </c>
      <c r="L155" s="4">
        <v>0.08</v>
      </c>
      <c r="M155" t="s">
        <v>53</v>
      </c>
      <c r="N155" s="3">
        <f>IF(BanHang[[#This Row],[Trạng thái]]="Huỷ cọc",0,BanHang[[#This Row],[Giá trị hợp đồng (trđ)]]*(1-BanHang[[#This Row],[Chiết khấu (%)]]))</f>
        <v>3615.0847999999996</v>
      </c>
    </row>
    <row r="156" spans="1:14" x14ac:dyDescent="0.3">
      <c r="A156" t="s">
        <v>202</v>
      </c>
      <c r="B156" s="1">
        <v>46128.447916666664</v>
      </c>
      <c r="C156" t="str">
        <f>"Tháng "&amp;MONTH(BanHang[[#This Row],[Ngày giờ bán]])</f>
        <v>Tháng 4</v>
      </c>
      <c r="D156" t="s">
        <v>76</v>
      </c>
      <c r="E156" t="s">
        <v>50</v>
      </c>
      <c r="F156" t="s">
        <v>107</v>
      </c>
      <c r="G156" t="s">
        <v>78</v>
      </c>
      <c r="H156" t="s">
        <v>79</v>
      </c>
      <c r="I156" s="2">
        <v>88.1</v>
      </c>
      <c r="J156" s="2">
        <v>63.3</v>
      </c>
      <c r="K156" s="3">
        <f>BanHang[[#This Row],[Diện tích (m²)]]*BanHang[[#This Row],[Đơn giá (trđ/m²)]]</f>
        <v>5576.73</v>
      </c>
      <c r="L156" s="4">
        <v>0.01</v>
      </c>
      <c r="M156" t="s">
        <v>53</v>
      </c>
      <c r="N156" s="3">
        <f>IF(BanHang[[#This Row],[Trạng thái]]="Huỷ cọc",0,BanHang[[#This Row],[Giá trị hợp đồng (trđ)]]*(1-BanHang[[#This Row],[Chiết khấu (%)]]))</f>
        <v>5520.9626999999991</v>
      </c>
    </row>
    <row r="157" spans="1:14" x14ac:dyDescent="0.3">
      <c r="A157" t="s">
        <v>203</v>
      </c>
      <c r="B157" s="1">
        <v>46128.489583333336</v>
      </c>
      <c r="C157" t="str">
        <f>"Tháng "&amp;MONTH(BanHang[[#This Row],[Ngày giờ bán]])</f>
        <v>Tháng 4</v>
      </c>
      <c r="D157" t="s">
        <v>179</v>
      </c>
      <c r="E157" t="s">
        <v>180</v>
      </c>
      <c r="F157" t="s">
        <v>17</v>
      </c>
      <c r="G157" t="s">
        <v>18</v>
      </c>
      <c r="H157" t="s">
        <v>157</v>
      </c>
      <c r="I157" s="2">
        <v>103.6</v>
      </c>
      <c r="J157" s="2">
        <v>43.1</v>
      </c>
      <c r="K157" s="3">
        <f>BanHang[[#This Row],[Diện tích (m²)]]*BanHang[[#This Row],[Đơn giá (trđ/m²)]]</f>
        <v>4465.16</v>
      </c>
      <c r="L157" s="4">
        <v>0</v>
      </c>
      <c r="M157" t="s">
        <v>53</v>
      </c>
      <c r="N157" s="3">
        <f>IF(BanHang[[#This Row],[Trạng thái]]="Huỷ cọc",0,BanHang[[#This Row],[Giá trị hợp đồng (trđ)]]*(1-BanHang[[#This Row],[Chiết khấu (%)]]))</f>
        <v>4465.16</v>
      </c>
    </row>
    <row r="158" spans="1:14" x14ac:dyDescent="0.3">
      <c r="A158" t="s">
        <v>204</v>
      </c>
      <c r="B158" s="1">
        <v>46128.729166666672</v>
      </c>
      <c r="C158" t="str">
        <f>"Tháng "&amp;MONTH(BanHang[[#This Row],[Ngày giờ bán]])</f>
        <v>Tháng 4</v>
      </c>
      <c r="D158" t="s">
        <v>179</v>
      </c>
      <c r="E158" t="s">
        <v>180</v>
      </c>
      <c r="F158" t="s">
        <v>77</v>
      </c>
      <c r="G158" t="s">
        <v>51</v>
      </c>
      <c r="H158" t="s">
        <v>109</v>
      </c>
      <c r="I158" s="2">
        <v>203.6</v>
      </c>
      <c r="J158" s="2">
        <v>40.299999999999997</v>
      </c>
      <c r="K158" s="3">
        <f>BanHang[[#This Row],[Diện tích (m²)]]*BanHang[[#This Row],[Đơn giá (trđ/m²)]]</f>
        <v>8205.08</v>
      </c>
      <c r="L158" s="4">
        <v>0.08</v>
      </c>
      <c r="M158" t="s">
        <v>53</v>
      </c>
      <c r="N158" s="3">
        <f>IF(BanHang[[#This Row],[Trạng thái]]="Huỷ cọc",0,BanHang[[#This Row],[Giá trị hợp đồng (trđ)]]*(1-BanHang[[#This Row],[Chiết khấu (%)]]))</f>
        <v>7548.6736000000001</v>
      </c>
    </row>
    <row r="159" spans="1:14" x14ac:dyDescent="0.3">
      <c r="A159" t="s">
        <v>205</v>
      </c>
      <c r="B159" s="1">
        <v>46129.4375</v>
      </c>
      <c r="C159" t="str">
        <f>"Tháng "&amp;MONTH(BanHang[[#This Row],[Ngày giờ bán]])</f>
        <v>Tháng 4</v>
      </c>
      <c r="D159" t="s">
        <v>383</v>
      </c>
      <c r="E159" t="s">
        <v>384</v>
      </c>
      <c r="F159" t="s">
        <v>103</v>
      </c>
      <c r="G159" t="s">
        <v>78</v>
      </c>
      <c r="H159" t="s">
        <v>157</v>
      </c>
      <c r="I159" s="2">
        <v>48.3</v>
      </c>
      <c r="J159" s="2">
        <v>45.7</v>
      </c>
      <c r="K159" s="3">
        <f>BanHang[[#This Row],[Diện tích (m²)]]*BanHang[[#This Row],[Đơn giá (trđ/m²)]]</f>
        <v>2207.31</v>
      </c>
      <c r="L159" s="4">
        <v>0.08</v>
      </c>
      <c r="M159" t="s">
        <v>53</v>
      </c>
      <c r="N159" s="3">
        <f>IF(BanHang[[#This Row],[Trạng thái]]="Huỷ cọc",0,BanHang[[#This Row],[Giá trị hợp đồng (trđ)]]*(1-BanHang[[#This Row],[Chiết khấu (%)]]))</f>
        <v>2030.7252000000001</v>
      </c>
    </row>
    <row r="160" spans="1:14" x14ac:dyDescent="0.3">
      <c r="A160" t="s">
        <v>206</v>
      </c>
      <c r="B160" s="1">
        <v>46129.46875</v>
      </c>
      <c r="C160" t="str">
        <f>"Tháng "&amp;MONTH(BanHang[[#This Row],[Ngày giờ bán]])</f>
        <v>Tháng 4</v>
      </c>
      <c r="D160" t="s">
        <v>408</v>
      </c>
      <c r="E160" t="s">
        <v>180</v>
      </c>
      <c r="F160" t="s">
        <v>17</v>
      </c>
      <c r="G160" t="s">
        <v>51</v>
      </c>
      <c r="H160" t="s">
        <v>406</v>
      </c>
      <c r="I160" s="2">
        <v>128.4</v>
      </c>
      <c r="J160" s="2">
        <v>59.9</v>
      </c>
      <c r="K160" s="3">
        <f>BanHang[[#This Row],[Diện tích (m²)]]*BanHang[[#This Row],[Đơn giá (trđ/m²)]]</f>
        <v>7691.16</v>
      </c>
      <c r="L160" s="4">
        <v>0.05</v>
      </c>
      <c r="M160" t="s">
        <v>53</v>
      </c>
      <c r="N160" s="3">
        <f>IF(BanHang[[#This Row],[Trạng thái]]="Huỷ cọc",0,BanHang[[#This Row],[Giá trị hợp đồng (trđ)]]*(1-BanHang[[#This Row],[Chiết khấu (%)]]))</f>
        <v>7306.6019999999999</v>
      </c>
    </row>
    <row r="161" spans="1:14" x14ac:dyDescent="0.3">
      <c r="A161" t="s">
        <v>207</v>
      </c>
      <c r="B161" s="1">
        <v>46129.479166666672</v>
      </c>
      <c r="C161" t="str">
        <f>"Tháng "&amp;MONTH(BanHang[[#This Row],[Ngày giờ bán]])</f>
        <v>Tháng 4</v>
      </c>
      <c r="D161" t="s">
        <v>101</v>
      </c>
      <c r="E161" t="s">
        <v>50</v>
      </c>
      <c r="F161" t="s">
        <v>156</v>
      </c>
      <c r="G161" t="s">
        <v>25</v>
      </c>
      <c r="H161" t="s">
        <v>52</v>
      </c>
      <c r="I161" s="2">
        <v>61.2</v>
      </c>
      <c r="J161" s="2">
        <v>59</v>
      </c>
      <c r="K161" s="3">
        <f>BanHang[[#This Row],[Diện tích (m²)]]*BanHang[[#This Row],[Đơn giá (trđ/m²)]]</f>
        <v>3610.8</v>
      </c>
      <c r="L161" s="4">
        <v>0.02</v>
      </c>
      <c r="M161" t="s">
        <v>53</v>
      </c>
      <c r="N161" s="3">
        <f>IF(BanHang[[#This Row],[Trạng thái]]="Huỷ cọc",0,BanHang[[#This Row],[Giá trị hợp đồng (trđ)]]*(1-BanHang[[#This Row],[Chiết khấu (%)]]))</f>
        <v>3538.5840000000003</v>
      </c>
    </row>
    <row r="162" spans="1:14" x14ac:dyDescent="0.3">
      <c r="A162" t="s">
        <v>208</v>
      </c>
      <c r="B162" s="1">
        <v>46129.541666666664</v>
      </c>
      <c r="C162" t="str">
        <f>"Tháng "&amp;MONTH(BanHang[[#This Row],[Ngày giờ bán]])</f>
        <v>Tháng 4</v>
      </c>
      <c r="D162" t="s">
        <v>15</v>
      </c>
      <c r="E162" t="s">
        <v>16</v>
      </c>
      <c r="F162" t="s">
        <v>107</v>
      </c>
      <c r="G162" t="s">
        <v>51</v>
      </c>
      <c r="H162" t="s">
        <v>79</v>
      </c>
      <c r="I162" s="2">
        <v>374</v>
      </c>
      <c r="J162" s="2">
        <v>98.7</v>
      </c>
      <c r="K162" s="3">
        <f>BanHang[[#This Row],[Diện tích (m²)]]*BanHang[[#This Row],[Đơn giá (trđ/m²)]]</f>
        <v>36913.800000000003</v>
      </c>
      <c r="L162" s="4">
        <v>0</v>
      </c>
      <c r="M162" t="s">
        <v>53</v>
      </c>
      <c r="N162" s="3">
        <f>IF(BanHang[[#This Row],[Trạng thái]]="Huỷ cọc",0,BanHang[[#This Row],[Giá trị hợp đồng (trđ)]]*(1-BanHang[[#This Row],[Chiết khấu (%)]]))</f>
        <v>36913.800000000003</v>
      </c>
    </row>
    <row r="163" spans="1:14" x14ac:dyDescent="0.3">
      <c r="A163" t="s">
        <v>209</v>
      </c>
      <c r="B163" s="1">
        <v>46129.614583333336</v>
      </c>
      <c r="C163" t="str">
        <f>"Tháng "&amp;MONTH(BanHang[[#This Row],[Ngày giờ bán]])</f>
        <v>Tháng 4</v>
      </c>
      <c r="D163" t="s">
        <v>383</v>
      </c>
      <c r="E163" t="s">
        <v>384</v>
      </c>
      <c r="F163" t="s">
        <v>17</v>
      </c>
      <c r="G163" t="s">
        <v>18</v>
      </c>
      <c r="H163" t="s">
        <v>157</v>
      </c>
      <c r="I163" s="2">
        <v>50.3</v>
      </c>
      <c r="J163" s="2">
        <v>73.099999999999994</v>
      </c>
      <c r="K163" s="3">
        <f>BanHang[[#This Row],[Diện tích (m²)]]*BanHang[[#This Row],[Đơn giá (trđ/m²)]]</f>
        <v>3676.9299999999994</v>
      </c>
      <c r="L163" s="4">
        <v>0.03</v>
      </c>
      <c r="M163" t="s">
        <v>53</v>
      </c>
      <c r="N163" s="3">
        <f>IF(BanHang[[#This Row],[Trạng thái]]="Huỷ cọc",0,BanHang[[#This Row],[Giá trị hợp đồng (trđ)]]*(1-BanHang[[#This Row],[Chiết khấu (%)]]))</f>
        <v>3566.6220999999991</v>
      </c>
    </row>
    <row r="164" spans="1:14" x14ac:dyDescent="0.3">
      <c r="A164" t="s">
        <v>210</v>
      </c>
      <c r="B164" s="1">
        <v>46130.53125</v>
      </c>
      <c r="C164" t="str">
        <f>"Tháng "&amp;MONTH(BanHang[[#This Row],[Ngày giờ bán]])</f>
        <v>Tháng 4</v>
      </c>
      <c r="D164" t="s">
        <v>179</v>
      </c>
      <c r="E164" t="s">
        <v>180</v>
      </c>
      <c r="F164" t="s">
        <v>156</v>
      </c>
      <c r="G164" t="s">
        <v>108</v>
      </c>
      <c r="H164" t="s">
        <v>476</v>
      </c>
      <c r="I164" s="2">
        <v>187.2</v>
      </c>
      <c r="J164" s="2">
        <v>41</v>
      </c>
      <c r="K164" s="3">
        <f>BanHang[[#This Row],[Diện tích (m²)]]*BanHang[[#This Row],[Đơn giá (trđ/m²)]]</f>
        <v>7675.2</v>
      </c>
      <c r="L164" s="4">
        <v>0</v>
      </c>
      <c r="M164" t="s">
        <v>20</v>
      </c>
      <c r="N164" s="3">
        <f>IF(BanHang[[#This Row],[Trạng thái]]="Huỷ cọc",0,BanHang[[#This Row],[Giá trị hợp đồng (trđ)]]*(1-BanHang[[#This Row],[Chiết khấu (%)]]))</f>
        <v>0</v>
      </c>
    </row>
    <row r="165" spans="1:14" x14ac:dyDescent="0.3">
      <c r="A165" t="s">
        <v>211</v>
      </c>
      <c r="B165" s="1">
        <v>46130.729166666672</v>
      </c>
      <c r="C165" t="str">
        <f>"Tháng "&amp;MONTH(BanHang[[#This Row],[Ngày giờ bán]])</f>
        <v>Tháng 4</v>
      </c>
      <c r="D165" t="s">
        <v>76</v>
      </c>
      <c r="E165" t="s">
        <v>50</v>
      </c>
      <c r="F165" t="s">
        <v>107</v>
      </c>
      <c r="G165" t="s">
        <v>51</v>
      </c>
      <c r="H165" t="s">
        <v>226</v>
      </c>
      <c r="I165" s="2">
        <v>65.099999999999994</v>
      </c>
      <c r="J165" s="2">
        <v>64.8</v>
      </c>
      <c r="K165" s="3">
        <f>BanHang[[#This Row],[Diện tích (m²)]]*BanHang[[#This Row],[Đơn giá (trđ/m²)]]</f>
        <v>4218.4799999999996</v>
      </c>
      <c r="L165" s="4">
        <v>0.03</v>
      </c>
      <c r="M165" t="s">
        <v>27</v>
      </c>
      <c r="N165" s="3">
        <f>IF(BanHang[[#This Row],[Trạng thái]]="Huỷ cọc",0,BanHang[[#This Row],[Giá trị hợp đồng (trđ)]]*(1-BanHang[[#This Row],[Chiết khấu (%)]]))</f>
        <v>4091.9255999999996</v>
      </c>
    </row>
    <row r="166" spans="1:14" x14ac:dyDescent="0.3">
      <c r="A166" t="s">
        <v>212</v>
      </c>
      <c r="B166" s="1">
        <v>46131.354166666672</v>
      </c>
      <c r="C166" t="str">
        <f>"Tháng "&amp;MONTH(BanHang[[#This Row],[Ngày giờ bán]])</f>
        <v>Tháng 4</v>
      </c>
      <c r="D166" t="s">
        <v>478</v>
      </c>
      <c r="E166" t="s">
        <v>384</v>
      </c>
      <c r="F166" t="s">
        <v>17</v>
      </c>
      <c r="G166" t="s">
        <v>108</v>
      </c>
      <c r="H166" t="s">
        <v>26</v>
      </c>
      <c r="I166" s="2">
        <v>59.7</v>
      </c>
      <c r="J166" s="2">
        <v>69.900000000000006</v>
      </c>
      <c r="K166" s="3">
        <f>BanHang[[#This Row],[Diện tích (m²)]]*BanHang[[#This Row],[Đơn giá (trđ/m²)]]</f>
        <v>4173.0300000000007</v>
      </c>
      <c r="L166" s="4">
        <v>0.01</v>
      </c>
      <c r="M166" t="s">
        <v>27</v>
      </c>
      <c r="N166" s="3">
        <f>IF(BanHang[[#This Row],[Trạng thái]]="Huỷ cọc",0,BanHang[[#This Row],[Giá trị hợp đồng (trđ)]]*(1-BanHang[[#This Row],[Chiết khấu (%)]]))</f>
        <v>4131.2997000000005</v>
      </c>
    </row>
    <row r="167" spans="1:14" x14ac:dyDescent="0.3">
      <c r="A167" t="s">
        <v>213</v>
      </c>
      <c r="B167" s="1">
        <v>46131.489583333336</v>
      </c>
      <c r="C167" t="str">
        <f>"Tháng "&amp;MONTH(BanHang[[#This Row],[Ngày giờ bán]])</f>
        <v>Tháng 4</v>
      </c>
      <c r="D167" t="s">
        <v>76</v>
      </c>
      <c r="E167" t="s">
        <v>50</v>
      </c>
      <c r="F167" t="s">
        <v>103</v>
      </c>
      <c r="G167" t="s">
        <v>25</v>
      </c>
      <c r="H167" t="s">
        <v>134</v>
      </c>
      <c r="I167" s="2">
        <v>61.6</v>
      </c>
      <c r="J167" s="2">
        <v>48.7</v>
      </c>
      <c r="K167" s="3">
        <f>BanHang[[#This Row],[Diện tích (m²)]]*BanHang[[#This Row],[Đơn giá (trđ/m²)]]</f>
        <v>2999.92</v>
      </c>
      <c r="L167" s="4">
        <v>0.01</v>
      </c>
      <c r="M167" t="s">
        <v>27</v>
      </c>
      <c r="N167" s="3">
        <f>IF(BanHang[[#This Row],[Trạng thái]]="Huỷ cọc",0,BanHang[[#This Row],[Giá trị hợp đồng (trđ)]]*(1-BanHang[[#This Row],[Chiết khấu (%)]]))</f>
        <v>2969.9207999999999</v>
      </c>
    </row>
    <row r="168" spans="1:14" x14ac:dyDescent="0.3">
      <c r="A168" t="s">
        <v>214</v>
      </c>
      <c r="B168" s="1">
        <v>46132.822916666664</v>
      </c>
      <c r="C168" t="str">
        <f>"Tháng "&amp;MONTH(BanHang[[#This Row],[Ngày giờ bán]])</f>
        <v>Tháng 4</v>
      </c>
      <c r="D168" t="s">
        <v>76</v>
      </c>
      <c r="E168" t="s">
        <v>50</v>
      </c>
      <c r="F168" t="s">
        <v>103</v>
      </c>
      <c r="G168" t="s">
        <v>18</v>
      </c>
      <c r="H168" t="s">
        <v>476</v>
      </c>
      <c r="I168" s="2">
        <v>80.3</v>
      </c>
      <c r="J168" s="2">
        <v>66.5</v>
      </c>
      <c r="K168" s="3">
        <f>BanHang[[#This Row],[Diện tích (m²)]]*BanHang[[#This Row],[Đơn giá (trđ/m²)]]</f>
        <v>5339.95</v>
      </c>
      <c r="L168" s="4">
        <v>7.0000000000000007E-2</v>
      </c>
      <c r="M168" t="s">
        <v>53</v>
      </c>
      <c r="N168" s="3">
        <f>IF(BanHang[[#This Row],[Trạng thái]]="Huỷ cọc",0,BanHang[[#This Row],[Giá trị hợp đồng (trđ)]]*(1-BanHang[[#This Row],[Chiết khấu (%)]]))</f>
        <v>4966.1534999999994</v>
      </c>
    </row>
    <row r="169" spans="1:14" x14ac:dyDescent="0.3">
      <c r="A169" t="s">
        <v>215</v>
      </c>
      <c r="B169" s="1">
        <v>46133.375</v>
      </c>
      <c r="C169" t="str">
        <f>"Tháng "&amp;MONTH(BanHang[[#This Row],[Ngày giờ bán]])</f>
        <v>Tháng 4</v>
      </c>
      <c r="D169" t="s">
        <v>15</v>
      </c>
      <c r="E169" t="s">
        <v>16</v>
      </c>
      <c r="F169" t="s">
        <v>24</v>
      </c>
      <c r="G169" t="s">
        <v>25</v>
      </c>
      <c r="H169" t="s">
        <v>52</v>
      </c>
      <c r="I169" s="2">
        <v>246.5</v>
      </c>
      <c r="J169" s="2">
        <v>130.80000000000001</v>
      </c>
      <c r="K169" s="3">
        <f>BanHang[[#This Row],[Diện tích (m²)]]*BanHang[[#This Row],[Đơn giá (trđ/m²)]]</f>
        <v>32242.200000000004</v>
      </c>
      <c r="L169" s="4">
        <v>0</v>
      </c>
      <c r="M169" t="s">
        <v>53</v>
      </c>
      <c r="N169" s="3">
        <f>IF(BanHang[[#This Row],[Trạng thái]]="Huỷ cọc",0,BanHang[[#This Row],[Giá trị hợp đồng (trđ)]]*(1-BanHang[[#This Row],[Chiết khấu (%)]]))</f>
        <v>32242.200000000004</v>
      </c>
    </row>
    <row r="170" spans="1:14" x14ac:dyDescent="0.3">
      <c r="A170" t="s">
        <v>216</v>
      </c>
      <c r="B170" s="1">
        <v>46133.625</v>
      </c>
      <c r="C170" t="str">
        <f>"Tháng "&amp;MONTH(BanHang[[#This Row],[Ngày giờ bán]])</f>
        <v>Tháng 4</v>
      </c>
      <c r="D170" t="s">
        <v>22</v>
      </c>
      <c r="E170" t="s">
        <v>23</v>
      </c>
      <c r="F170" t="s">
        <v>103</v>
      </c>
      <c r="G170" t="s">
        <v>51</v>
      </c>
      <c r="H170" t="s">
        <v>109</v>
      </c>
      <c r="I170" s="2">
        <v>130.19999999999999</v>
      </c>
      <c r="J170" s="2">
        <v>133.1</v>
      </c>
      <c r="K170" s="3">
        <f>BanHang[[#This Row],[Diện tích (m²)]]*BanHang[[#This Row],[Đơn giá (trđ/m²)]]</f>
        <v>17329.62</v>
      </c>
      <c r="L170" s="4">
        <v>7.0000000000000007E-2</v>
      </c>
      <c r="M170" t="s">
        <v>27</v>
      </c>
      <c r="N170" s="3">
        <f>IF(BanHang[[#This Row],[Trạng thái]]="Huỷ cọc",0,BanHang[[#This Row],[Giá trị hợp đồng (trđ)]]*(1-BanHang[[#This Row],[Chiết khấu (%)]]))</f>
        <v>16116.546599999998</v>
      </c>
    </row>
    <row r="171" spans="1:14" x14ac:dyDescent="0.3">
      <c r="A171" t="s">
        <v>217</v>
      </c>
      <c r="B171" s="1">
        <v>46133.645833333336</v>
      </c>
      <c r="C171" t="str">
        <f>"Tháng "&amp;MONTH(BanHang[[#This Row],[Ngày giờ bán]])</f>
        <v>Tháng 4</v>
      </c>
      <c r="D171" t="s">
        <v>49</v>
      </c>
      <c r="E171" t="s">
        <v>50</v>
      </c>
      <c r="F171" t="s">
        <v>156</v>
      </c>
      <c r="G171" t="s">
        <v>108</v>
      </c>
      <c r="H171" t="s">
        <v>226</v>
      </c>
      <c r="I171" s="2">
        <v>87</v>
      </c>
      <c r="J171" s="2">
        <v>71.7</v>
      </c>
      <c r="K171" s="3">
        <f>BanHang[[#This Row],[Diện tích (m²)]]*BanHang[[#This Row],[Đơn giá (trđ/m²)]]</f>
        <v>6237.9000000000005</v>
      </c>
      <c r="L171" s="4">
        <v>0.01</v>
      </c>
      <c r="M171" t="s">
        <v>27</v>
      </c>
      <c r="N171" s="3">
        <f>IF(BanHang[[#This Row],[Trạng thái]]="Huỷ cọc",0,BanHang[[#This Row],[Giá trị hợp đồng (trđ)]]*(1-BanHang[[#This Row],[Chiết khấu (%)]]))</f>
        <v>6175.5210000000006</v>
      </c>
    </row>
    <row r="172" spans="1:14" x14ac:dyDescent="0.3">
      <c r="A172" t="s">
        <v>218</v>
      </c>
      <c r="B172" s="1">
        <v>46133.6875</v>
      </c>
      <c r="C172" t="str">
        <f>"Tháng "&amp;MONTH(BanHang[[#This Row],[Ngày giờ bán]])</f>
        <v>Tháng 4</v>
      </c>
      <c r="D172" t="s">
        <v>408</v>
      </c>
      <c r="E172" t="s">
        <v>180</v>
      </c>
      <c r="F172" t="s">
        <v>107</v>
      </c>
      <c r="G172" t="s">
        <v>51</v>
      </c>
      <c r="H172" t="s">
        <v>109</v>
      </c>
      <c r="I172" s="2">
        <v>124.8</v>
      </c>
      <c r="J172" s="2">
        <v>23.9</v>
      </c>
      <c r="K172" s="3">
        <f>BanHang[[#This Row],[Diện tích (m²)]]*BanHang[[#This Row],[Đơn giá (trđ/m²)]]</f>
        <v>2982.72</v>
      </c>
      <c r="L172" s="4">
        <v>0.01</v>
      </c>
      <c r="M172" t="s">
        <v>53</v>
      </c>
      <c r="N172" s="3">
        <f>IF(BanHang[[#This Row],[Trạng thái]]="Huỷ cọc",0,BanHang[[#This Row],[Giá trị hợp đồng (trđ)]]*(1-BanHang[[#This Row],[Chiết khấu (%)]]))</f>
        <v>2952.8927999999996</v>
      </c>
    </row>
    <row r="173" spans="1:14" x14ac:dyDescent="0.3">
      <c r="A173" t="s">
        <v>219</v>
      </c>
      <c r="B173" s="1">
        <v>46133.8125</v>
      </c>
      <c r="C173" t="str">
        <f>"Tháng "&amp;MONTH(BanHang[[#This Row],[Ngày giờ bán]])</f>
        <v>Tháng 4</v>
      </c>
      <c r="D173" t="s">
        <v>179</v>
      </c>
      <c r="E173" t="s">
        <v>180</v>
      </c>
      <c r="F173" t="s">
        <v>107</v>
      </c>
      <c r="G173" t="s">
        <v>108</v>
      </c>
      <c r="H173" t="s">
        <v>26</v>
      </c>
      <c r="I173" s="2">
        <v>162.4</v>
      </c>
      <c r="J173" s="2">
        <v>35.9</v>
      </c>
      <c r="K173" s="3">
        <f>BanHang[[#This Row],[Diện tích (m²)]]*BanHang[[#This Row],[Đơn giá (trđ/m²)]]</f>
        <v>5830.16</v>
      </c>
      <c r="L173" s="4">
        <v>0.08</v>
      </c>
      <c r="M173" t="s">
        <v>53</v>
      </c>
      <c r="N173" s="3">
        <f>IF(BanHang[[#This Row],[Trạng thái]]="Huỷ cọc",0,BanHang[[#This Row],[Giá trị hợp đồng (trđ)]]*(1-BanHang[[#This Row],[Chiết khấu (%)]]))</f>
        <v>5363.7471999999998</v>
      </c>
    </row>
    <row r="174" spans="1:14" x14ac:dyDescent="0.3">
      <c r="A174" t="s">
        <v>220</v>
      </c>
      <c r="B174" s="1">
        <v>46134.395833333336</v>
      </c>
      <c r="C174" t="str">
        <f>"Tháng "&amp;MONTH(BanHang[[#This Row],[Ngày giờ bán]])</f>
        <v>Tháng 4</v>
      </c>
      <c r="D174" t="s">
        <v>15</v>
      </c>
      <c r="E174" t="s">
        <v>16</v>
      </c>
      <c r="F174" t="s">
        <v>156</v>
      </c>
      <c r="G174" t="s">
        <v>108</v>
      </c>
      <c r="H174" t="s">
        <v>406</v>
      </c>
      <c r="I174" s="2">
        <v>387.9</v>
      </c>
      <c r="J174" s="2">
        <v>129.6</v>
      </c>
      <c r="K174" s="3">
        <f>BanHang[[#This Row],[Diện tích (m²)]]*BanHang[[#This Row],[Đơn giá (trđ/m²)]]</f>
        <v>50271.839999999997</v>
      </c>
      <c r="L174" s="4">
        <v>0.01</v>
      </c>
      <c r="M174" t="s">
        <v>53</v>
      </c>
      <c r="N174" s="3">
        <f>IF(BanHang[[#This Row],[Trạng thái]]="Huỷ cọc",0,BanHang[[#This Row],[Giá trị hợp đồng (trđ)]]*(1-BanHang[[#This Row],[Chiết khấu (%)]]))</f>
        <v>49769.121599999999</v>
      </c>
    </row>
    <row r="175" spans="1:14" x14ac:dyDescent="0.3">
      <c r="A175" t="s">
        <v>221</v>
      </c>
      <c r="B175" s="1">
        <v>46134.5</v>
      </c>
      <c r="C175" t="str">
        <f>"Tháng "&amp;MONTH(BanHang[[#This Row],[Ngày giờ bán]])</f>
        <v>Tháng 4</v>
      </c>
      <c r="D175" t="s">
        <v>101</v>
      </c>
      <c r="E175" t="s">
        <v>50</v>
      </c>
      <c r="F175" t="s">
        <v>77</v>
      </c>
      <c r="G175" t="s">
        <v>18</v>
      </c>
      <c r="H175" t="s">
        <v>52</v>
      </c>
      <c r="I175" s="2">
        <v>71.900000000000006</v>
      </c>
      <c r="J175" s="2">
        <v>45.5</v>
      </c>
      <c r="K175" s="3">
        <f>BanHang[[#This Row],[Diện tích (m²)]]*BanHang[[#This Row],[Đơn giá (trđ/m²)]]</f>
        <v>3271.4500000000003</v>
      </c>
      <c r="L175" s="4">
        <v>0</v>
      </c>
      <c r="M175" t="s">
        <v>53</v>
      </c>
      <c r="N175" s="3">
        <f>IF(BanHang[[#This Row],[Trạng thái]]="Huỷ cọc",0,BanHang[[#This Row],[Giá trị hợp đồng (trđ)]]*(1-BanHang[[#This Row],[Chiết khấu (%)]]))</f>
        <v>3271.4500000000003</v>
      </c>
    </row>
    <row r="176" spans="1:14" x14ac:dyDescent="0.3">
      <c r="A176" t="s">
        <v>222</v>
      </c>
      <c r="B176" s="1">
        <v>46135.34375</v>
      </c>
      <c r="C176" t="str">
        <f>"Tháng "&amp;MONTH(BanHang[[#This Row],[Ngày giờ bán]])</f>
        <v>Tháng 4</v>
      </c>
      <c r="D176" t="s">
        <v>179</v>
      </c>
      <c r="E176" t="s">
        <v>180</v>
      </c>
      <c r="F176" t="s">
        <v>77</v>
      </c>
      <c r="G176" t="s">
        <v>108</v>
      </c>
      <c r="H176" t="s">
        <v>226</v>
      </c>
      <c r="I176" s="2">
        <v>147</v>
      </c>
      <c r="J176" s="2">
        <v>23</v>
      </c>
      <c r="K176" s="3">
        <f>BanHang[[#This Row],[Diện tích (m²)]]*BanHang[[#This Row],[Đơn giá (trđ/m²)]]</f>
        <v>3381</v>
      </c>
      <c r="L176" s="4">
        <v>0.05</v>
      </c>
      <c r="M176" t="s">
        <v>27</v>
      </c>
      <c r="N176" s="3">
        <f>IF(BanHang[[#This Row],[Trạng thái]]="Huỷ cọc",0,BanHang[[#This Row],[Giá trị hợp đồng (trđ)]]*(1-BanHang[[#This Row],[Chiết khấu (%)]]))</f>
        <v>3211.95</v>
      </c>
    </row>
    <row r="177" spans="1:14" x14ac:dyDescent="0.3">
      <c r="A177" t="s">
        <v>223</v>
      </c>
      <c r="B177" s="1">
        <v>46135.40625</v>
      </c>
      <c r="C177" t="str">
        <f>"Tháng "&amp;MONTH(BanHang[[#This Row],[Ngày giờ bán]])</f>
        <v>Tháng 4</v>
      </c>
      <c r="D177" t="s">
        <v>76</v>
      </c>
      <c r="E177" t="s">
        <v>50</v>
      </c>
      <c r="F177" t="s">
        <v>156</v>
      </c>
      <c r="G177" t="s">
        <v>18</v>
      </c>
      <c r="H177" t="s">
        <v>134</v>
      </c>
      <c r="I177" s="2">
        <v>91.9</v>
      </c>
      <c r="J177" s="2">
        <v>62.8</v>
      </c>
      <c r="K177" s="3">
        <f>BanHang[[#This Row],[Diện tích (m²)]]*BanHang[[#This Row],[Đơn giá (trđ/m²)]]</f>
        <v>5771.32</v>
      </c>
      <c r="L177" s="4">
        <v>0.01</v>
      </c>
      <c r="M177" t="s">
        <v>53</v>
      </c>
      <c r="N177" s="3">
        <f>IF(BanHang[[#This Row],[Trạng thái]]="Huỷ cọc",0,BanHang[[#This Row],[Giá trị hợp đồng (trđ)]]*(1-BanHang[[#This Row],[Chiết khấu (%)]]))</f>
        <v>5713.6067999999996</v>
      </c>
    </row>
    <row r="178" spans="1:14" x14ac:dyDescent="0.3">
      <c r="A178" t="s">
        <v>224</v>
      </c>
      <c r="B178" s="1">
        <v>46135.447916666664</v>
      </c>
      <c r="C178" t="str">
        <f>"Tháng "&amp;MONTH(BanHang[[#This Row],[Ngày giờ bán]])</f>
        <v>Tháng 4</v>
      </c>
      <c r="D178" t="s">
        <v>105</v>
      </c>
      <c r="E178" t="s">
        <v>23</v>
      </c>
      <c r="F178" t="s">
        <v>77</v>
      </c>
      <c r="G178" t="s">
        <v>51</v>
      </c>
      <c r="H178" t="s">
        <v>134</v>
      </c>
      <c r="I178" s="2">
        <v>109.5</v>
      </c>
      <c r="J178" s="2">
        <v>92.2</v>
      </c>
      <c r="K178" s="3">
        <f>BanHang[[#This Row],[Diện tích (m²)]]*BanHang[[#This Row],[Đơn giá (trđ/m²)]]</f>
        <v>10095.9</v>
      </c>
      <c r="L178" s="4">
        <v>0</v>
      </c>
      <c r="M178" t="s">
        <v>53</v>
      </c>
      <c r="N178" s="3">
        <f>IF(BanHang[[#This Row],[Trạng thái]]="Huỷ cọc",0,BanHang[[#This Row],[Giá trị hợp đồng (trđ)]]*(1-BanHang[[#This Row],[Chiết khấu (%)]]))</f>
        <v>10095.9</v>
      </c>
    </row>
    <row r="179" spans="1:14" x14ac:dyDescent="0.3">
      <c r="A179" t="s">
        <v>227</v>
      </c>
      <c r="B179" s="1">
        <v>46136.65625</v>
      </c>
      <c r="C179" t="str">
        <f>"Tháng "&amp;MONTH(BanHang[[#This Row],[Ngày giờ bán]])</f>
        <v>Tháng 4</v>
      </c>
      <c r="D179" t="s">
        <v>111</v>
      </c>
      <c r="E179" t="s">
        <v>50</v>
      </c>
      <c r="F179" t="s">
        <v>156</v>
      </c>
      <c r="G179" t="s">
        <v>78</v>
      </c>
      <c r="H179" t="s">
        <v>52</v>
      </c>
      <c r="I179" s="2">
        <v>75.3</v>
      </c>
      <c r="J179" s="2">
        <v>75.5</v>
      </c>
      <c r="K179" s="3">
        <f>BanHang[[#This Row],[Diện tích (m²)]]*BanHang[[#This Row],[Đơn giá (trđ/m²)]]</f>
        <v>5685.15</v>
      </c>
      <c r="L179" s="4">
        <v>7.0000000000000007E-2</v>
      </c>
      <c r="M179" t="s">
        <v>53</v>
      </c>
      <c r="N179" s="3">
        <f>IF(BanHang[[#This Row],[Trạng thái]]="Huỷ cọc",0,BanHang[[#This Row],[Giá trị hợp đồng (trđ)]]*(1-BanHang[[#This Row],[Chiết khấu (%)]]))</f>
        <v>5287.1894999999995</v>
      </c>
    </row>
    <row r="180" spans="1:14" x14ac:dyDescent="0.3">
      <c r="A180" t="s">
        <v>228</v>
      </c>
      <c r="B180" s="1">
        <v>46137.802083333328</v>
      </c>
      <c r="C180" t="str">
        <f>"Tháng "&amp;MONTH(BanHang[[#This Row],[Ngày giờ bán]])</f>
        <v>Tháng 4</v>
      </c>
      <c r="D180" t="s">
        <v>408</v>
      </c>
      <c r="E180" t="s">
        <v>180</v>
      </c>
      <c r="F180" t="s">
        <v>103</v>
      </c>
      <c r="G180" t="s">
        <v>108</v>
      </c>
      <c r="H180" t="s">
        <v>52</v>
      </c>
      <c r="I180" s="2">
        <v>118.9</v>
      </c>
      <c r="J180" s="2">
        <v>24.5</v>
      </c>
      <c r="K180" s="3">
        <f>BanHang[[#This Row],[Diện tích (m²)]]*BanHang[[#This Row],[Đơn giá (trđ/m²)]]</f>
        <v>2913.05</v>
      </c>
      <c r="L180" s="4">
        <v>0.03</v>
      </c>
      <c r="M180" t="s">
        <v>53</v>
      </c>
      <c r="N180" s="3">
        <f>IF(BanHang[[#This Row],[Trạng thái]]="Huỷ cọc",0,BanHang[[#This Row],[Giá trị hợp đồng (trđ)]]*(1-BanHang[[#This Row],[Chiết khấu (%)]]))</f>
        <v>2825.6585</v>
      </c>
    </row>
    <row r="181" spans="1:14" x14ac:dyDescent="0.3">
      <c r="A181" t="s">
        <v>229</v>
      </c>
      <c r="B181" s="1">
        <v>46139.447916666664</v>
      </c>
      <c r="C181" t="str">
        <f>"Tháng "&amp;MONTH(BanHang[[#This Row],[Ngày giờ bán]])</f>
        <v>Tháng 4</v>
      </c>
      <c r="D181" t="s">
        <v>454</v>
      </c>
      <c r="E181" t="s">
        <v>106</v>
      </c>
      <c r="F181" t="s">
        <v>17</v>
      </c>
      <c r="G181" t="s">
        <v>51</v>
      </c>
      <c r="H181" t="s">
        <v>157</v>
      </c>
      <c r="I181" s="2">
        <v>110.4</v>
      </c>
      <c r="J181" s="2">
        <v>185.9</v>
      </c>
      <c r="K181" s="3">
        <f>BanHang[[#This Row],[Diện tích (m²)]]*BanHang[[#This Row],[Đơn giá (trđ/m²)]]</f>
        <v>20523.36</v>
      </c>
      <c r="L181" s="4">
        <v>0.01</v>
      </c>
      <c r="M181" t="s">
        <v>53</v>
      </c>
      <c r="N181" s="3">
        <f>IF(BanHang[[#This Row],[Trạng thái]]="Huỷ cọc",0,BanHang[[#This Row],[Giá trị hợp đồng (trđ)]]*(1-BanHang[[#This Row],[Chiết khấu (%)]]))</f>
        <v>20318.126400000001</v>
      </c>
    </row>
    <row r="182" spans="1:14" x14ac:dyDescent="0.3">
      <c r="A182" t="s">
        <v>230</v>
      </c>
      <c r="B182" s="1">
        <v>46141.40625</v>
      </c>
      <c r="C182" t="str">
        <f>"Tháng "&amp;MONTH(BanHang[[#This Row],[Ngày giờ bán]])</f>
        <v>Tháng 4</v>
      </c>
      <c r="D182" t="s">
        <v>105</v>
      </c>
      <c r="E182" t="s">
        <v>23</v>
      </c>
      <c r="F182" t="s">
        <v>103</v>
      </c>
      <c r="G182" t="s">
        <v>51</v>
      </c>
      <c r="H182" t="s">
        <v>226</v>
      </c>
      <c r="I182" s="2">
        <v>128.69999999999999</v>
      </c>
      <c r="J182" s="2">
        <v>87.6</v>
      </c>
      <c r="K182" s="3">
        <f>BanHang[[#This Row],[Diện tích (m²)]]*BanHang[[#This Row],[Đơn giá (trđ/m²)]]</f>
        <v>11274.119999999999</v>
      </c>
      <c r="L182" s="4">
        <v>0.08</v>
      </c>
      <c r="M182" t="s">
        <v>53</v>
      </c>
      <c r="N182" s="3">
        <f>IF(BanHang[[#This Row],[Trạng thái]]="Huỷ cọc",0,BanHang[[#This Row],[Giá trị hợp đồng (trđ)]]*(1-BanHang[[#This Row],[Chiết khấu (%)]]))</f>
        <v>10372.190399999999</v>
      </c>
    </row>
    <row r="183" spans="1:14" x14ac:dyDescent="0.3">
      <c r="A183" t="s">
        <v>231</v>
      </c>
      <c r="B183" s="1">
        <v>46141.5</v>
      </c>
      <c r="C183" t="str">
        <f>"Tháng "&amp;MONTH(BanHang[[#This Row],[Ngày giờ bán]])</f>
        <v>Tháng 4</v>
      </c>
      <c r="D183" t="s">
        <v>76</v>
      </c>
      <c r="E183" t="s">
        <v>50</v>
      </c>
      <c r="F183" t="s">
        <v>24</v>
      </c>
      <c r="G183" t="s">
        <v>108</v>
      </c>
      <c r="H183" t="s">
        <v>476</v>
      </c>
      <c r="I183" s="2">
        <v>69.7</v>
      </c>
      <c r="J183" s="2">
        <v>68.099999999999994</v>
      </c>
      <c r="K183" s="3">
        <f>BanHang[[#This Row],[Diện tích (m²)]]*BanHang[[#This Row],[Đơn giá (trđ/m²)]]</f>
        <v>4746.57</v>
      </c>
      <c r="L183" s="4">
        <v>0.05</v>
      </c>
      <c r="M183" t="s">
        <v>27</v>
      </c>
      <c r="N183" s="3">
        <f>IF(BanHang[[#This Row],[Trạng thái]]="Huỷ cọc",0,BanHang[[#This Row],[Giá trị hợp đồng (trđ)]]*(1-BanHang[[#This Row],[Chiết khấu (%)]]))</f>
        <v>4509.2414999999992</v>
      </c>
    </row>
    <row r="184" spans="1:14" x14ac:dyDescent="0.3">
      <c r="A184" t="s">
        <v>232</v>
      </c>
      <c r="B184" s="1">
        <v>46142.447916666664</v>
      </c>
      <c r="C184" t="str">
        <f>"Tháng "&amp;MONTH(BanHang[[#This Row],[Ngày giờ bán]])</f>
        <v>Tháng 4</v>
      </c>
      <c r="D184" t="s">
        <v>15</v>
      </c>
      <c r="E184" t="s">
        <v>16</v>
      </c>
      <c r="F184" t="s">
        <v>107</v>
      </c>
      <c r="G184" t="s">
        <v>108</v>
      </c>
      <c r="H184" t="s">
        <v>79</v>
      </c>
      <c r="I184" s="2">
        <v>354.9</v>
      </c>
      <c r="J184" s="2">
        <v>132.5</v>
      </c>
      <c r="K184" s="3">
        <f>BanHang[[#This Row],[Diện tích (m²)]]*BanHang[[#This Row],[Đơn giá (trđ/m²)]]</f>
        <v>47024.25</v>
      </c>
      <c r="L184" s="4">
        <v>0.02</v>
      </c>
      <c r="M184" t="s">
        <v>27</v>
      </c>
      <c r="N184" s="3">
        <f>IF(BanHang[[#This Row],[Trạng thái]]="Huỷ cọc",0,BanHang[[#This Row],[Giá trị hợp đồng (trđ)]]*(1-BanHang[[#This Row],[Chiết khấu (%)]]))</f>
        <v>46083.764999999999</v>
      </c>
    </row>
    <row r="185" spans="1:14" x14ac:dyDescent="0.3">
      <c r="A185" t="s">
        <v>233</v>
      </c>
      <c r="B185" s="1">
        <v>46143.385416666664</v>
      </c>
      <c r="C185" t="str">
        <f>"Tháng "&amp;MONTH(BanHang[[#This Row],[Ngày giờ bán]])</f>
        <v>Tháng 5</v>
      </c>
      <c r="D185" t="s">
        <v>111</v>
      </c>
      <c r="E185" t="s">
        <v>50</v>
      </c>
      <c r="F185" t="s">
        <v>24</v>
      </c>
      <c r="G185" t="s">
        <v>51</v>
      </c>
      <c r="H185" t="s">
        <v>79</v>
      </c>
      <c r="I185" s="2">
        <v>77.3</v>
      </c>
      <c r="J185" s="2">
        <v>77.599999999999994</v>
      </c>
      <c r="K185" s="3">
        <f>BanHang[[#This Row],[Diện tích (m²)]]*BanHang[[#This Row],[Đơn giá (trđ/m²)]]</f>
        <v>5998.48</v>
      </c>
      <c r="L185" s="4">
        <v>0</v>
      </c>
      <c r="M185" t="s">
        <v>53</v>
      </c>
      <c r="N185" s="3">
        <f>IF(BanHang[[#This Row],[Trạng thái]]="Huỷ cọc",0,BanHang[[#This Row],[Giá trị hợp đồng (trđ)]]*(1-BanHang[[#This Row],[Chiết khấu (%)]]))</f>
        <v>5998.48</v>
      </c>
    </row>
    <row r="186" spans="1:14" x14ac:dyDescent="0.3">
      <c r="A186" t="s">
        <v>234</v>
      </c>
      <c r="B186" s="1">
        <v>46144.354166666672</v>
      </c>
      <c r="C186" t="str">
        <f>"Tháng "&amp;MONTH(BanHang[[#This Row],[Ngày giờ bán]])</f>
        <v>Tháng 5</v>
      </c>
      <c r="D186" t="s">
        <v>479</v>
      </c>
      <c r="E186" t="s">
        <v>23</v>
      </c>
      <c r="F186" t="s">
        <v>103</v>
      </c>
      <c r="G186" t="s">
        <v>51</v>
      </c>
      <c r="H186" t="s">
        <v>52</v>
      </c>
      <c r="I186" s="2">
        <v>123.7</v>
      </c>
      <c r="J186" s="2">
        <v>135.6</v>
      </c>
      <c r="K186" s="3">
        <f>BanHang[[#This Row],[Diện tích (m²)]]*BanHang[[#This Row],[Đơn giá (trđ/m²)]]</f>
        <v>16773.72</v>
      </c>
      <c r="L186" s="4">
        <v>0.08</v>
      </c>
      <c r="M186" t="s">
        <v>53</v>
      </c>
      <c r="N186" s="3">
        <f>IF(BanHang[[#This Row],[Trạng thái]]="Huỷ cọc",0,BanHang[[#This Row],[Giá trị hợp đồng (trđ)]]*(1-BanHang[[#This Row],[Chiết khấu (%)]]))</f>
        <v>15431.822400000001</v>
      </c>
    </row>
    <row r="187" spans="1:14" x14ac:dyDescent="0.3">
      <c r="A187" t="s">
        <v>235</v>
      </c>
      <c r="B187" s="1">
        <v>46144.489583333336</v>
      </c>
      <c r="C187" t="str">
        <f>"Tháng "&amp;MONTH(BanHang[[#This Row],[Ngày giờ bán]])</f>
        <v>Tháng 5</v>
      </c>
      <c r="D187" t="s">
        <v>478</v>
      </c>
      <c r="E187" t="s">
        <v>384</v>
      </c>
      <c r="F187" t="s">
        <v>24</v>
      </c>
      <c r="G187" t="s">
        <v>78</v>
      </c>
      <c r="H187" t="s">
        <v>406</v>
      </c>
      <c r="I187" s="2">
        <v>48.9</v>
      </c>
      <c r="J187" s="2">
        <v>50.7</v>
      </c>
      <c r="K187" s="3">
        <f>BanHang[[#This Row],[Diện tích (m²)]]*BanHang[[#This Row],[Đơn giá (trđ/m²)]]</f>
        <v>2479.23</v>
      </c>
      <c r="L187" s="4">
        <v>0.01</v>
      </c>
      <c r="M187" t="s">
        <v>53</v>
      </c>
      <c r="N187" s="3">
        <f>IF(BanHang[[#This Row],[Trạng thái]]="Huỷ cọc",0,BanHang[[#This Row],[Giá trị hợp đồng (trđ)]]*(1-BanHang[[#This Row],[Chiết khấu (%)]]))</f>
        <v>2454.4376999999999</v>
      </c>
    </row>
    <row r="188" spans="1:14" x14ac:dyDescent="0.3">
      <c r="A188" t="s">
        <v>236</v>
      </c>
      <c r="B188" s="1">
        <v>46145.385416666664</v>
      </c>
      <c r="C188" t="str">
        <f>"Tháng "&amp;MONTH(BanHang[[#This Row],[Ngày giờ bán]])</f>
        <v>Tháng 5</v>
      </c>
      <c r="D188" t="s">
        <v>101</v>
      </c>
      <c r="E188" t="s">
        <v>50</v>
      </c>
      <c r="F188" t="s">
        <v>156</v>
      </c>
      <c r="G188" t="s">
        <v>25</v>
      </c>
      <c r="H188" t="s">
        <v>109</v>
      </c>
      <c r="I188" s="2">
        <v>82.1</v>
      </c>
      <c r="J188" s="2">
        <v>71.900000000000006</v>
      </c>
      <c r="K188" s="3">
        <f>BanHang[[#This Row],[Diện tích (m²)]]*BanHang[[#This Row],[Đơn giá (trđ/m²)]]</f>
        <v>5902.99</v>
      </c>
      <c r="L188" s="4">
        <v>7.0000000000000007E-2</v>
      </c>
      <c r="M188" t="s">
        <v>53</v>
      </c>
      <c r="N188" s="3">
        <f>IF(BanHang[[#This Row],[Trạng thái]]="Huỷ cọc",0,BanHang[[#This Row],[Giá trị hợp đồng (trđ)]]*(1-BanHang[[#This Row],[Chiết khấu (%)]]))</f>
        <v>5489.7806999999993</v>
      </c>
    </row>
    <row r="189" spans="1:14" x14ac:dyDescent="0.3">
      <c r="A189" t="s">
        <v>237</v>
      </c>
      <c r="B189" s="1">
        <v>46146.510416666664</v>
      </c>
      <c r="C189" t="str">
        <f>"Tháng "&amp;MONTH(BanHang[[#This Row],[Ngày giờ bán]])</f>
        <v>Tháng 5</v>
      </c>
      <c r="D189" t="s">
        <v>383</v>
      </c>
      <c r="E189" t="s">
        <v>384</v>
      </c>
      <c r="F189" t="s">
        <v>17</v>
      </c>
      <c r="G189" t="s">
        <v>108</v>
      </c>
      <c r="H189" t="s">
        <v>157</v>
      </c>
      <c r="I189" s="2">
        <v>69</v>
      </c>
      <c r="J189" s="2">
        <v>51.6</v>
      </c>
      <c r="K189" s="3">
        <f>BanHang[[#This Row],[Diện tích (m²)]]*BanHang[[#This Row],[Đơn giá (trđ/m²)]]</f>
        <v>3560.4</v>
      </c>
      <c r="L189" s="4">
        <v>0.03</v>
      </c>
      <c r="M189" t="s">
        <v>27</v>
      </c>
      <c r="N189" s="3">
        <f>IF(BanHang[[#This Row],[Trạng thái]]="Huỷ cọc",0,BanHang[[#This Row],[Giá trị hợp đồng (trđ)]]*(1-BanHang[[#This Row],[Chiết khấu (%)]]))</f>
        <v>3453.5880000000002</v>
      </c>
    </row>
    <row r="190" spans="1:14" x14ac:dyDescent="0.3">
      <c r="A190" t="s">
        <v>238</v>
      </c>
      <c r="B190" s="1">
        <v>46146.5625</v>
      </c>
      <c r="C190" t="str">
        <f>"Tháng "&amp;MONTH(BanHang[[#This Row],[Ngày giờ bán]])</f>
        <v>Tháng 5</v>
      </c>
      <c r="D190" t="s">
        <v>111</v>
      </c>
      <c r="E190" t="s">
        <v>50</v>
      </c>
      <c r="F190" t="s">
        <v>103</v>
      </c>
      <c r="G190" t="s">
        <v>18</v>
      </c>
      <c r="H190" t="s">
        <v>226</v>
      </c>
      <c r="I190" s="2">
        <v>84.2</v>
      </c>
      <c r="J190" s="2">
        <v>74.5</v>
      </c>
      <c r="K190" s="3">
        <f>BanHang[[#This Row],[Diện tích (m²)]]*BanHang[[#This Row],[Đơn giá (trđ/m²)]]</f>
        <v>6272.9000000000005</v>
      </c>
      <c r="L190" s="4">
        <v>0</v>
      </c>
      <c r="M190" t="s">
        <v>27</v>
      </c>
      <c r="N190" s="3">
        <f>IF(BanHang[[#This Row],[Trạng thái]]="Huỷ cọc",0,BanHang[[#This Row],[Giá trị hợp đồng (trđ)]]*(1-BanHang[[#This Row],[Chiết khấu (%)]]))</f>
        <v>6272.9000000000005</v>
      </c>
    </row>
    <row r="191" spans="1:14" x14ac:dyDescent="0.3">
      <c r="A191" t="s">
        <v>239</v>
      </c>
      <c r="B191" s="1">
        <v>46146.635416666664</v>
      </c>
      <c r="C191" t="str">
        <f>"Tháng "&amp;MONTH(BanHang[[#This Row],[Ngày giờ bán]])</f>
        <v>Tháng 5</v>
      </c>
      <c r="D191" t="s">
        <v>111</v>
      </c>
      <c r="E191" t="s">
        <v>50</v>
      </c>
      <c r="F191" t="s">
        <v>17</v>
      </c>
      <c r="G191" t="s">
        <v>78</v>
      </c>
      <c r="H191" t="s">
        <v>406</v>
      </c>
      <c r="I191" s="2">
        <v>55.7</v>
      </c>
      <c r="J191" s="2">
        <v>72</v>
      </c>
      <c r="K191" s="3">
        <f>BanHang[[#This Row],[Diện tích (m²)]]*BanHang[[#This Row],[Đơn giá (trđ/m²)]]</f>
        <v>4010.4</v>
      </c>
      <c r="L191" s="4">
        <v>0.01</v>
      </c>
      <c r="M191" t="s">
        <v>53</v>
      </c>
      <c r="N191" s="3">
        <f>IF(BanHang[[#This Row],[Trạng thái]]="Huỷ cọc",0,BanHang[[#This Row],[Giá trị hợp đồng (trđ)]]*(1-BanHang[[#This Row],[Chiết khấu (%)]]))</f>
        <v>3970.2960000000003</v>
      </c>
    </row>
    <row r="192" spans="1:14" x14ac:dyDescent="0.3">
      <c r="A192" t="s">
        <v>240</v>
      </c>
      <c r="B192" s="1">
        <v>46146.6875</v>
      </c>
      <c r="C192" t="str">
        <f>"Tháng "&amp;MONTH(BanHang[[#This Row],[Ngày giờ bán]])</f>
        <v>Tháng 5</v>
      </c>
      <c r="D192" t="s">
        <v>76</v>
      </c>
      <c r="E192" t="s">
        <v>50</v>
      </c>
      <c r="F192" t="s">
        <v>103</v>
      </c>
      <c r="G192" t="s">
        <v>108</v>
      </c>
      <c r="H192" t="s">
        <v>134</v>
      </c>
      <c r="I192" s="2">
        <v>70.400000000000006</v>
      </c>
      <c r="J192" s="2">
        <v>74.2</v>
      </c>
      <c r="K192" s="3">
        <f>BanHang[[#This Row],[Diện tích (m²)]]*BanHang[[#This Row],[Đơn giá (trđ/m²)]]</f>
        <v>5223.68</v>
      </c>
      <c r="L192" s="4">
        <v>0.03</v>
      </c>
      <c r="M192" t="s">
        <v>53</v>
      </c>
      <c r="N192" s="3">
        <f>IF(BanHang[[#This Row],[Trạng thái]]="Huỷ cọc",0,BanHang[[#This Row],[Giá trị hợp đồng (trđ)]]*(1-BanHang[[#This Row],[Chiết khấu (%)]]))</f>
        <v>5066.9696000000004</v>
      </c>
    </row>
    <row r="193" spans="1:14" x14ac:dyDescent="0.3">
      <c r="A193" t="s">
        <v>241</v>
      </c>
      <c r="B193" s="1">
        <v>46147.375</v>
      </c>
      <c r="C193" t="str">
        <f>"Tháng "&amp;MONTH(BanHang[[#This Row],[Ngày giờ bán]])</f>
        <v>Tháng 5</v>
      </c>
      <c r="D193" t="s">
        <v>105</v>
      </c>
      <c r="E193" t="s">
        <v>23</v>
      </c>
      <c r="F193" t="s">
        <v>103</v>
      </c>
      <c r="G193" t="s">
        <v>51</v>
      </c>
      <c r="H193" t="s">
        <v>79</v>
      </c>
      <c r="I193" s="2">
        <v>85.4</v>
      </c>
      <c r="J193" s="2">
        <v>113.5</v>
      </c>
      <c r="K193" s="3">
        <f>BanHang[[#This Row],[Diện tích (m²)]]*BanHang[[#This Row],[Đơn giá (trđ/m²)]]</f>
        <v>9692.9000000000015</v>
      </c>
      <c r="L193" s="4">
        <v>0</v>
      </c>
      <c r="M193" t="s">
        <v>53</v>
      </c>
      <c r="N193" s="3">
        <f>IF(BanHang[[#This Row],[Trạng thái]]="Huỷ cọc",0,BanHang[[#This Row],[Giá trị hợp đồng (trđ)]]*(1-BanHang[[#This Row],[Chiết khấu (%)]]))</f>
        <v>9692.9000000000015</v>
      </c>
    </row>
    <row r="194" spans="1:14" x14ac:dyDescent="0.3">
      <c r="A194" t="s">
        <v>242</v>
      </c>
      <c r="B194" s="1">
        <v>46147.40625</v>
      </c>
      <c r="C194" t="str">
        <f>"Tháng "&amp;MONTH(BanHang[[#This Row],[Ngày giờ bán]])</f>
        <v>Tháng 5</v>
      </c>
      <c r="D194" t="s">
        <v>105</v>
      </c>
      <c r="E194" t="s">
        <v>23</v>
      </c>
      <c r="F194" t="s">
        <v>17</v>
      </c>
      <c r="G194" t="s">
        <v>18</v>
      </c>
      <c r="H194" t="s">
        <v>19</v>
      </c>
      <c r="I194" s="2">
        <v>88.6</v>
      </c>
      <c r="J194" s="2">
        <v>112.4</v>
      </c>
      <c r="K194" s="3">
        <f>BanHang[[#This Row],[Diện tích (m²)]]*BanHang[[#This Row],[Đơn giá (trđ/m²)]]</f>
        <v>9958.64</v>
      </c>
      <c r="L194" s="4">
        <v>0.08</v>
      </c>
      <c r="M194" t="s">
        <v>20</v>
      </c>
      <c r="N194" s="3">
        <f>IF(BanHang[[#This Row],[Trạng thái]]="Huỷ cọc",0,BanHang[[#This Row],[Giá trị hợp đồng (trđ)]]*(1-BanHang[[#This Row],[Chiết khấu (%)]]))</f>
        <v>0</v>
      </c>
    </row>
    <row r="195" spans="1:14" x14ac:dyDescent="0.3">
      <c r="A195" t="s">
        <v>243</v>
      </c>
      <c r="B195" s="1">
        <v>46147.75</v>
      </c>
      <c r="C195" t="str">
        <f>"Tháng "&amp;MONTH(BanHang[[#This Row],[Ngày giờ bán]])</f>
        <v>Tháng 5</v>
      </c>
      <c r="D195" t="s">
        <v>49</v>
      </c>
      <c r="E195" t="s">
        <v>50</v>
      </c>
      <c r="F195" t="s">
        <v>77</v>
      </c>
      <c r="G195" t="s">
        <v>108</v>
      </c>
      <c r="H195" t="s">
        <v>406</v>
      </c>
      <c r="I195" s="2">
        <v>78.8</v>
      </c>
      <c r="J195" s="2">
        <v>44.1</v>
      </c>
      <c r="K195" s="3">
        <f>BanHang[[#This Row],[Diện tích (m²)]]*BanHang[[#This Row],[Đơn giá (trđ/m²)]]</f>
        <v>3475.08</v>
      </c>
      <c r="L195" s="4">
        <v>0.03</v>
      </c>
      <c r="M195" t="s">
        <v>53</v>
      </c>
      <c r="N195" s="3">
        <f>IF(BanHang[[#This Row],[Trạng thái]]="Huỷ cọc",0,BanHang[[#This Row],[Giá trị hợp đồng (trđ)]]*(1-BanHang[[#This Row],[Chiết khấu (%)]]))</f>
        <v>3370.8275999999996</v>
      </c>
    </row>
    <row r="196" spans="1:14" x14ac:dyDescent="0.3">
      <c r="A196" t="s">
        <v>244</v>
      </c>
      <c r="B196" s="1">
        <v>46148.416666666664</v>
      </c>
      <c r="C196" t="str">
        <f>"Tháng "&amp;MONTH(BanHang[[#This Row],[Ngày giờ bán]])</f>
        <v>Tháng 5</v>
      </c>
      <c r="D196" t="s">
        <v>408</v>
      </c>
      <c r="E196" t="s">
        <v>180</v>
      </c>
      <c r="F196" t="s">
        <v>24</v>
      </c>
      <c r="G196" t="s">
        <v>51</v>
      </c>
      <c r="H196" t="s">
        <v>406</v>
      </c>
      <c r="I196" s="2">
        <v>173.7</v>
      </c>
      <c r="J196" s="2">
        <v>25.9</v>
      </c>
      <c r="K196" s="3">
        <f>BanHang[[#This Row],[Diện tích (m²)]]*BanHang[[#This Row],[Đơn giá (trđ/m²)]]</f>
        <v>4498.829999999999</v>
      </c>
      <c r="L196" s="4">
        <v>0</v>
      </c>
      <c r="M196" t="s">
        <v>53</v>
      </c>
      <c r="N196" s="3">
        <f>IF(BanHang[[#This Row],[Trạng thái]]="Huỷ cọc",0,BanHang[[#This Row],[Giá trị hợp đồng (trđ)]]*(1-BanHang[[#This Row],[Chiết khấu (%)]]))</f>
        <v>4498.829999999999</v>
      </c>
    </row>
    <row r="197" spans="1:14" x14ac:dyDescent="0.3">
      <c r="A197" t="s">
        <v>245</v>
      </c>
      <c r="B197" s="1">
        <v>46148.427083333328</v>
      </c>
      <c r="C197" t="str">
        <f>"Tháng "&amp;MONTH(BanHang[[#This Row],[Ngày giờ bán]])</f>
        <v>Tháng 5</v>
      </c>
      <c r="D197" t="s">
        <v>49</v>
      </c>
      <c r="E197" t="s">
        <v>50</v>
      </c>
      <c r="F197" t="s">
        <v>24</v>
      </c>
      <c r="G197" t="s">
        <v>51</v>
      </c>
      <c r="H197" t="s">
        <v>109</v>
      </c>
      <c r="I197" s="2">
        <v>56</v>
      </c>
      <c r="J197" s="2">
        <v>77.400000000000006</v>
      </c>
      <c r="K197" s="3">
        <f>BanHang[[#This Row],[Diện tích (m²)]]*BanHang[[#This Row],[Đơn giá (trđ/m²)]]</f>
        <v>4334.4000000000005</v>
      </c>
      <c r="L197" s="4">
        <v>0.01</v>
      </c>
      <c r="M197" t="s">
        <v>53</v>
      </c>
      <c r="N197" s="3">
        <f>IF(BanHang[[#This Row],[Trạng thái]]="Huỷ cọc",0,BanHang[[#This Row],[Giá trị hợp đồng (trđ)]]*(1-BanHang[[#This Row],[Chiết khấu (%)]]))</f>
        <v>4291.0560000000005</v>
      </c>
    </row>
    <row r="198" spans="1:14" x14ac:dyDescent="0.3">
      <c r="A198" t="s">
        <v>246</v>
      </c>
      <c r="B198" s="1">
        <v>46148.458333333336</v>
      </c>
      <c r="C198" t="str">
        <f>"Tháng "&amp;MONTH(BanHang[[#This Row],[Ngày giờ bán]])</f>
        <v>Tháng 5</v>
      </c>
      <c r="D198" t="s">
        <v>22</v>
      </c>
      <c r="E198" t="s">
        <v>23</v>
      </c>
      <c r="F198" t="s">
        <v>17</v>
      </c>
      <c r="G198" t="s">
        <v>78</v>
      </c>
      <c r="H198" t="s">
        <v>79</v>
      </c>
      <c r="I198" s="2">
        <v>91</v>
      </c>
      <c r="J198" s="2">
        <v>110</v>
      </c>
      <c r="K198" s="3">
        <f>BanHang[[#This Row],[Diện tích (m²)]]*BanHang[[#This Row],[Đơn giá (trđ/m²)]]</f>
        <v>10010</v>
      </c>
      <c r="L198" s="4">
        <v>0.01</v>
      </c>
      <c r="M198" t="s">
        <v>53</v>
      </c>
      <c r="N198" s="3">
        <f>IF(BanHang[[#This Row],[Trạng thái]]="Huỷ cọc",0,BanHang[[#This Row],[Giá trị hợp đồng (trđ)]]*(1-BanHang[[#This Row],[Chiết khấu (%)]]))</f>
        <v>9909.9</v>
      </c>
    </row>
    <row r="199" spans="1:14" x14ac:dyDescent="0.3">
      <c r="A199" t="s">
        <v>247</v>
      </c>
      <c r="B199" s="1">
        <v>46149.40625</v>
      </c>
      <c r="C199" t="str">
        <f>"Tháng "&amp;MONTH(BanHang[[#This Row],[Ngày giờ bán]])</f>
        <v>Tháng 5</v>
      </c>
      <c r="D199" t="s">
        <v>76</v>
      </c>
      <c r="E199" t="s">
        <v>50</v>
      </c>
      <c r="F199" t="s">
        <v>77</v>
      </c>
      <c r="G199" t="s">
        <v>51</v>
      </c>
      <c r="H199" t="s">
        <v>134</v>
      </c>
      <c r="I199" s="2">
        <v>55.5</v>
      </c>
      <c r="J199" s="2">
        <v>62</v>
      </c>
      <c r="K199" s="3">
        <f>BanHang[[#This Row],[Diện tích (m²)]]*BanHang[[#This Row],[Đơn giá (trđ/m²)]]</f>
        <v>3441</v>
      </c>
      <c r="L199" s="4">
        <v>0</v>
      </c>
      <c r="M199" t="s">
        <v>27</v>
      </c>
      <c r="N199" s="3">
        <f>IF(BanHang[[#This Row],[Trạng thái]]="Huỷ cọc",0,BanHang[[#This Row],[Giá trị hợp đồng (trđ)]]*(1-BanHang[[#This Row],[Chiết khấu (%)]]))</f>
        <v>3441</v>
      </c>
    </row>
    <row r="200" spans="1:14" x14ac:dyDescent="0.3">
      <c r="A200" t="s">
        <v>248</v>
      </c>
      <c r="B200" s="1">
        <v>46152.479166666672</v>
      </c>
      <c r="C200" t="str">
        <f>"Tháng "&amp;MONTH(BanHang[[#This Row],[Ngày giờ bán]])</f>
        <v>Tháng 5</v>
      </c>
      <c r="D200" t="s">
        <v>179</v>
      </c>
      <c r="E200" t="s">
        <v>180</v>
      </c>
      <c r="F200" t="s">
        <v>103</v>
      </c>
      <c r="G200" t="s">
        <v>108</v>
      </c>
      <c r="H200" t="s">
        <v>157</v>
      </c>
      <c r="I200" s="2">
        <v>205.9</v>
      </c>
      <c r="J200" s="2">
        <v>43.4</v>
      </c>
      <c r="K200" s="3">
        <f>BanHang[[#This Row],[Diện tích (m²)]]*BanHang[[#This Row],[Đơn giá (trđ/m²)]]</f>
        <v>8936.06</v>
      </c>
      <c r="L200" s="4">
        <v>7.0000000000000007E-2</v>
      </c>
      <c r="M200" t="s">
        <v>27</v>
      </c>
      <c r="N200" s="3">
        <f>IF(BanHang[[#This Row],[Trạng thái]]="Huỷ cọc",0,BanHang[[#This Row],[Giá trị hợp đồng (trđ)]]*(1-BanHang[[#This Row],[Chiết khấu (%)]]))</f>
        <v>8310.5357999999997</v>
      </c>
    </row>
    <row r="201" spans="1:14" x14ac:dyDescent="0.3">
      <c r="A201" t="s">
        <v>250</v>
      </c>
      <c r="B201" s="1">
        <v>46154.53125</v>
      </c>
      <c r="C201" t="str">
        <f>"Tháng "&amp;MONTH(BanHang[[#This Row],[Ngày giờ bán]])</f>
        <v>Tháng 5</v>
      </c>
      <c r="D201" t="s">
        <v>454</v>
      </c>
      <c r="E201" t="s">
        <v>106</v>
      </c>
      <c r="F201" t="s">
        <v>17</v>
      </c>
      <c r="G201" t="s">
        <v>51</v>
      </c>
      <c r="H201" t="s">
        <v>406</v>
      </c>
      <c r="I201" s="2">
        <v>112.8</v>
      </c>
      <c r="J201" s="2">
        <v>196.9</v>
      </c>
      <c r="K201" s="3">
        <f>BanHang[[#This Row],[Diện tích (m²)]]*BanHang[[#This Row],[Đơn giá (trđ/m²)]]</f>
        <v>22210.32</v>
      </c>
      <c r="L201" s="4">
        <v>0.05</v>
      </c>
      <c r="M201" t="s">
        <v>27</v>
      </c>
      <c r="N201" s="3">
        <f>IF(BanHang[[#This Row],[Trạng thái]]="Huỷ cọc",0,BanHang[[#This Row],[Giá trị hợp đồng (trđ)]]*(1-BanHang[[#This Row],[Chiết khấu (%)]]))</f>
        <v>21099.804</v>
      </c>
    </row>
    <row r="202" spans="1:14" x14ac:dyDescent="0.3">
      <c r="A202" t="s">
        <v>251</v>
      </c>
      <c r="B202" s="1">
        <v>46154.78125</v>
      </c>
      <c r="C202" t="str">
        <f>"Tháng "&amp;MONTH(BanHang[[#This Row],[Ngày giờ bán]])</f>
        <v>Tháng 5</v>
      </c>
      <c r="D202" t="s">
        <v>383</v>
      </c>
      <c r="E202" t="s">
        <v>384</v>
      </c>
      <c r="F202" t="s">
        <v>156</v>
      </c>
      <c r="G202" t="s">
        <v>78</v>
      </c>
      <c r="H202" t="s">
        <v>79</v>
      </c>
      <c r="I202" s="2">
        <v>64.3</v>
      </c>
      <c r="J202" s="2">
        <v>62.1</v>
      </c>
      <c r="K202" s="3">
        <f>BanHang[[#This Row],[Diện tích (m²)]]*BanHang[[#This Row],[Đơn giá (trđ/m²)]]</f>
        <v>3993.0299999999997</v>
      </c>
      <c r="L202" s="4">
        <v>0.08</v>
      </c>
      <c r="M202" t="s">
        <v>53</v>
      </c>
      <c r="N202" s="3">
        <f>IF(BanHang[[#This Row],[Trạng thái]]="Huỷ cọc",0,BanHang[[#This Row],[Giá trị hợp đồng (trđ)]]*(1-BanHang[[#This Row],[Chiết khấu (%)]]))</f>
        <v>3673.5875999999998</v>
      </c>
    </row>
    <row r="203" spans="1:14" x14ac:dyDescent="0.3">
      <c r="A203" t="s">
        <v>252</v>
      </c>
      <c r="B203" s="1">
        <v>46155.666666666664</v>
      </c>
      <c r="C203" t="str">
        <f>"Tháng "&amp;MONTH(BanHang[[#This Row],[Ngày giờ bán]])</f>
        <v>Tháng 5</v>
      </c>
      <c r="D203" t="s">
        <v>479</v>
      </c>
      <c r="E203" t="s">
        <v>23</v>
      </c>
      <c r="F203" t="s">
        <v>17</v>
      </c>
      <c r="G203" t="s">
        <v>51</v>
      </c>
      <c r="H203" t="s">
        <v>109</v>
      </c>
      <c r="I203" s="2">
        <v>93.4</v>
      </c>
      <c r="J203" s="2">
        <v>136.6</v>
      </c>
      <c r="K203" s="3">
        <f>BanHang[[#This Row],[Diện tích (m²)]]*BanHang[[#This Row],[Đơn giá (trđ/m²)]]</f>
        <v>12758.44</v>
      </c>
      <c r="L203" s="4">
        <v>7.0000000000000007E-2</v>
      </c>
      <c r="M203" t="s">
        <v>53</v>
      </c>
      <c r="N203" s="3">
        <f>IF(BanHang[[#This Row],[Trạng thái]]="Huỷ cọc",0,BanHang[[#This Row],[Giá trị hợp đồng (trđ)]]*(1-BanHang[[#This Row],[Chiết khấu (%)]]))</f>
        <v>11865.349200000001</v>
      </c>
    </row>
    <row r="204" spans="1:14" x14ac:dyDescent="0.3">
      <c r="A204" t="s">
        <v>253</v>
      </c>
      <c r="B204" s="1">
        <v>46155.770833333336</v>
      </c>
      <c r="C204" t="str">
        <f>"Tháng "&amp;MONTH(BanHang[[#This Row],[Ngày giờ bán]])</f>
        <v>Tháng 5</v>
      </c>
      <c r="D204" t="s">
        <v>101</v>
      </c>
      <c r="E204" t="s">
        <v>50</v>
      </c>
      <c r="F204" t="s">
        <v>24</v>
      </c>
      <c r="G204" t="s">
        <v>18</v>
      </c>
      <c r="H204" t="s">
        <v>134</v>
      </c>
      <c r="I204" s="2">
        <v>59</v>
      </c>
      <c r="J204" s="2">
        <v>75.400000000000006</v>
      </c>
      <c r="K204" s="3">
        <f>BanHang[[#This Row],[Diện tích (m²)]]*BanHang[[#This Row],[Đơn giá (trđ/m²)]]</f>
        <v>4448.6000000000004</v>
      </c>
      <c r="L204" s="4">
        <v>0</v>
      </c>
      <c r="M204" t="s">
        <v>53</v>
      </c>
      <c r="N204" s="3">
        <f>IF(BanHang[[#This Row],[Trạng thái]]="Huỷ cọc",0,BanHang[[#This Row],[Giá trị hợp đồng (trđ)]]*(1-BanHang[[#This Row],[Chiết khấu (%)]]))</f>
        <v>4448.6000000000004</v>
      </c>
    </row>
    <row r="205" spans="1:14" x14ac:dyDescent="0.3">
      <c r="A205" t="s">
        <v>254</v>
      </c>
      <c r="B205" s="1">
        <v>46156.635416666664</v>
      </c>
      <c r="C205" t="str">
        <f>"Tháng "&amp;MONTH(BanHang[[#This Row],[Ngày giờ bán]])</f>
        <v>Tháng 5</v>
      </c>
      <c r="D205" t="s">
        <v>479</v>
      </c>
      <c r="E205" t="s">
        <v>23</v>
      </c>
      <c r="F205" t="s">
        <v>17</v>
      </c>
      <c r="G205" t="s">
        <v>18</v>
      </c>
      <c r="H205" t="s">
        <v>26</v>
      </c>
      <c r="I205" s="2">
        <v>139.9</v>
      </c>
      <c r="J205" s="2">
        <v>116.9</v>
      </c>
      <c r="K205" s="3">
        <f>BanHang[[#This Row],[Diện tích (m²)]]*BanHang[[#This Row],[Đơn giá (trđ/m²)]]</f>
        <v>16354.310000000001</v>
      </c>
      <c r="L205" s="4">
        <v>0.03</v>
      </c>
      <c r="M205" t="s">
        <v>53</v>
      </c>
      <c r="N205" s="3">
        <f>IF(BanHang[[#This Row],[Trạng thái]]="Huỷ cọc",0,BanHang[[#This Row],[Giá trị hợp đồng (trđ)]]*(1-BanHang[[#This Row],[Chiết khấu (%)]]))</f>
        <v>15863.680700000001</v>
      </c>
    </row>
    <row r="206" spans="1:14" x14ac:dyDescent="0.3">
      <c r="A206" t="s">
        <v>255</v>
      </c>
      <c r="B206" s="1">
        <v>46157.552083333328</v>
      </c>
      <c r="C206" t="str">
        <f>"Tháng "&amp;MONTH(BanHang[[#This Row],[Ngày giờ bán]])</f>
        <v>Tháng 5</v>
      </c>
      <c r="D206" t="s">
        <v>111</v>
      </c>
      <c r="E206" t="s">
        <v>50</v>
      </c>
      <c r="F206" t="s">
        <v>77</v>
      </c>
      <c r="G206" t="s">
        <v>51</v>
      </c>
      <c r="H206" t="s">
        <v>476</v>
      </c>
      <c r="I206" s="2">
        <v>70</v>
      </c>
      <c r="J206" s="2">
        <v>65.599999999999994</v>
      </c>
      <c r="K206" s="3">
        <f>BanHang[[#This Row],[Diện tích (m²)]]*BanHang[[#This Row],[Đơn giá (trđ/m²)]]</f>
        <v>4592</v>
      </c>
      <c r="L206" s="4">
        <v>0.05</v>
      </c>
      <c r="M206" t="s">
        <v>53</v>
      </c>
      <c r="N206" s="3">
        <f>IF(BanHang[[#This Row],[Trạng thái]]="Huỷ cọc",0,BanHang[[#This Row],[Giá trị hợp đồng (trđ)]]*(1-BanHang[[#This Row],[Chiết khấu (%)]]))</f>
        <v>4362.3999999999996</v>
      </c>
    </row>
    <row r="207" spans="1:14" x14ac:dyDescent="0.3">
      <c r="A207" t="s">
        <v>256</v>
      </c>
      <c r="B207" s="1">
        <v>46157.739583333336</v>
      </c>
      <c r="C207" t="str">
        <f>"Tháng "&amp;MONTH(BanHang[[#This Row],[Ngày giờ bán]])</f>
        <v>Tháng 5</v>
      </c>
      <c r="D207" t="s">
        <v>478</v>
      </c>
      <c r="E207" t="s">
        <v>384</v>
      </c>
      <c r="F207" t="s">
        <v>77</v>
      </c>
      <c r="G207" t="s">
        <v>51</v>
      </c>
      <c r="H207" t="s">
        <v>79</v>
      </c>
      <c r="I207" s="2">
        <v>60.6</v>
      </c>
      <c r="J207" s="2">
        <v>62.9</v>
      </c>
      <c r="K207" s="3">
        <f>BanHang[[#This Row],[Diện tích (m²)]]*BanHang[[#This Row],[Đơn giá (trđ/m²)]]</f>
        <v>3811.74</v>
      </c>
      <c r="L207" s="4">
        <v>0.05</v>
      </c>
      <c r="M207" t="s">
        <v>53</v>
      </c>
      <c r="N207" s="3">
        <f>IF(BanHang[[#This Row],[Trạng thái]]="Huỷ cọc",0,BanHang[[#This Row],[Giá trị hợp đồng (trđ)]]*(1-BanHang[[#This Row],[Chiết khấu (%)]]))</f>
        <v>3621.1529999999998</v>
      </c>
    </row>
    <row r="208" spans="1:14" x14ac:dyDescent="0.3">
      <c r="A208" t="s">
        <v>257</v>
      </c>
      <c r="B208" s="1">
        <v>46158.65625</v>
      </c>
      <c r="C208" t="str">
        <f>"Tháng "&amp;MONTH(BanHang[[#This Row],[Ngày giờ bán]])</f>
        <v>Tháng 5</v>
      </c>
      <c r="D208" t="s">
        <v>383</v>
      </c>
      <c r="E208" t="s">
        <v>384</v>
      </c>
      <c r="F208" t="s">
        <v>24</v>
      </c>
      <c r="G208" t="s">
        <v>51</v>
      </c>
      <c r="H208" t="s">
        <v>19</v>
      </c>
      <c r="I208" s="2">
        <v>53.9</v>
      </c>
      <c r="J208" s="2">
        <v>73.099999999999994</v>
      </c>
      <c r="K208" s="3">
        <f>BanHang[[#This Row],[Diện tích (m²)]]*BanHang[[#This Row],[Đơn giá (trđ/m²)]]</f>
        <v>3940.0899999999997</v>
      </c>
      <c r="L208" s="4">
        <v>0.08</v>
      </c>
      <c r="M208" t="s">
        <v>53</v>
      </c>
      <c r="N208" s="3">
        <f>IF(BanHang[[#This Row],[Trạng thái]]="Huỷ cọc",0,BanHang[[#This Row],[Giá trị hợp đồng (trđ)]]*(1-BanHang[[#This Row],[Chiết khấu (%)]]))</f>
        <v>3624.8827999999999</v>
      </c>
    </row>
    <row r="209" spans="1:14" x14ac:dyDescent="0.3">
      <c r="A209" t="s">
        <v>258</v>
      </c>
      <c r="B209" s="1">
        <v>46159.333333333336</v>
      </c>
      <c r="C209" t="str">
        <f>"Tháng "&amp;MONTH(BanHang[[#This Row],[Ngày giờ bán]])</f>
        <v>Tháng 5</v>
      </c>
      <c r="D209" t="s">
        <v>454</v>
      </c>
      <c r="E209" t="s">
        <v>106</v>
      </c>
      <c r="F209" t="s">
        <v>17</v>
      </c>
      <c r="G209" t="s">
        <v>51</v>
      </c>
      <c r="H209" t="s">
        <v>476</v>
      </c>
      <c r="I209" s="2">
        <v>134.69999999999999</v>
      </c>
      <c r="J209" s="2">
        <v>166.8</v>
      </c>
      <c r="K209" s="3">
        <f>BanHang[[#This Row],[Diện tích (m²)]]*BanHang[[#This Row],[Đơn giá (trđ/m²)]]</f>
        <v>22467.96</v>
      </c>
      <c r="L209" s="4">
        <v>0</v>
      </c>
      <c r="M209" t="s">
        <v>53</v>
      </c>
      <c r="N209" s="3">
        <f>IF(BanHang[[#This Row],[Trạng thái]]="Huỷ cọc",0,BanHang[[#This Row],[Giá trị hợp đồng (trđ)]]*(1-BanHang[[#This Row],[Chiết khấu (%)]]))</f>
        <v>22467.96</v>
      </c>
    </row>
    <row r="210" spans="1:14" x14ac:dyDescent="0.3">
      <c r="A210" t="s">
        <v>259</v>
      </c>
      <c r="B210" s="1">
        <v>46160.791666666664</v>
      </c>
      <c r="C210" t="str">
        <f>"Tháng "&amp;MONTH(BanHang[[#This Row],[Ngày giờ bán]])</f>
        <v>Tháng 5</v>
      </c>
      <c r="D210" t="s">
        <v>225</v>
      </c>
      <c r="E210" t="s">
        <v>180</v>
      </c>
      <c r="F210" t="s">
        <v>103</v>
      </c>
      <c r="G210" t="s">
        <v>78</v>
      </c>
      <c r="H210" t="s">
        <v>157</v>
      </c>
      <c r="I210" s="2">
        <v>200.2</v>
      </c>
      <c r="J210" s="2">
        <v>42</v>
      </c>
      <c r="K210" s="3">
        <f>BanHang[[#This Row],[Diện tích (m²)]]*BanHang[[#This Row],[Đơn giá (trđ/m²)]]</f>
        <v>8408.4</v>
      </c>
      <c r="L210" s="4">
        <v>0</v>
      </c>
      <c r="M210" t="s">
        <v>53</v>
      </c>
      <c r="N210" s="3">
        <f>IF(BanHang[[#This Row],[Trạng thái]]="Huỷ cọc",0,BanHang[[#This Row],[Giá trị hợp đồng (trđ)]]*(1-BanHang[[#This Row],[Chiết khấu (%)]]))</f>
        <v>8408.4</v>
      </c>
    </row>
    <row r="211" spans="1:14" x14ac:dyDescent="0.3">
      <c r="A211" t="s">
        <v>260</v>
      </c>
      <c r="B211" s="1">
        <v>46160.822916666664</v>
      </c>
      <c r="C211" t="str">
        <f>"Tháng "&amp;MONTH(BanHang[[#This Row],[Ngày giờ bán]])</f>
        <v>Tháng 5</v>
      </c>
      <c r="D211" t="s">
        <v>15</v>
      </c>
      <c r="E211" t="s">
        <v>16</v>
      </c>
      <c r="F211" t="s">
        <v>77</v>
      </c>
      <c r="G211" t="s">
        <v>108</v>
      </c>
      <c r="H211" t="s">
        <v>19</v>
      </c>
      <c r="I211" s="2">
        <v>303.8</v>
      </c>
      <c r="J211" s="2">
        <v>144.69999999999999</v>
      </c>
      <c r="K211" s="3">
        <f>BanHang[[#This Row],[Diện tích (m²)]]*BanHang[[#This Row],[Đơn giá (trđ/m²)]]</f>
        <v>43959.86</v>
      </c>
      <c r="L211" s="4">
        <v>0.01</v>
      </c>
      <c r="M211" t="s">
        <v>53</v>
      </c>
      <c r="N211" s="3">
        <f>IF(BanHang[[#This Row],[Trạng thái]]="Huỷ cọc",0,BanHang[[#This Row],[Giá trị hợp đồng (trđ)]]*(1-BanHang[[#This Row],[Chiết khấu (%)]]))</f>
        <v>43520.261400000003</v>
      </c>
    </row>
    <row r="212" spans="1:14" x14ac:dyDescent="0.3">
      <c r="A212" t="s">
        <v>261</v>
      </c>
      <c r="B212" s="1">
        <v>46162.40625</v>
      </c>
      <c r="C212" t="str">
        <f>"Tháng "&amp;MONTH(BanHang[[#This Row],[Ngày giờ bán]])</f>
        <v>Tháng 5</v>
      </c>
      <c r="D212" t="s">
        <v>49</v>
      </c>
      <c r="E212" t="s">
        <v>50</v>
      </c>
      <c r="F212" t="s">
        <v>103</v>
      </c>
      <c r="G212" t="s">
        <v>18</v>
      </c>
      <c r="H212" t="s">
        <v>79</v>
      </c>
      <c r="I212" s="2">
        <v>63</v>
      </c>
      <c r="J212" s="2">
        <v>53.9</v>
      </c>
      <c r="K212" s="3">
        <f>BanHang[[#This Row],[Diện tích (m²)]]*BanHang[[#This Row],[Đơn giá (trđ/m²)]]</f>
        <v>3395.7</v>
      </c>
      <c r="L212" s="4">
        <v>0</v>
      </c>
      <c r="M212" t="s">
        <v>27</v>
      </c>
      <c r="N212" s="3">
        <f>IF(BanHang[[#This Row],[Trạng thái]]="Huỷ cọc",0,BanHang[[#This Row],[Giá trị hợp đồng (trđ)]]*(1-BanHang[[#This Row],[Chiết khấu (%)]]))</f>
        <v>3395.7</v>
      </c>
    </row>
    <row r="213" spans="1:14" x14ac:dyDescent="0.3">
      <c r="A213" t="s">
        <v>262</v>
      </c>
      <c r="B213" s="1">
        <v>46162.479166666672</v>
      </c>
      <c r="C213" t="str">
        <f>"Tháng "&amp;MONTH(BanHang[[#This Row],[Ngày giờ bán]])</f>
        <v>Tháng 5</v>
      </c>
      <c r="D213" t="s">
        <v>408</v>
      </c>
      <c r="E213" t="s">
        <v>180</v>
      </c>
      <c r="F213" t="s">
        <v>77</v>
      </c>
      <c r="G213" t="s">
        <v>18</v>
      </c>
      <c r="H213" t="s">
        <v>52</v>
      </c>
      <c r="I213" s="2">
        <v>93.9</v>
      </c>
      <c r="J213" s="2">
        <v>36.1</v>
      </c>
      <c r="K213" s="3">
        <f>BanHang[[#This Row],[Diện tích (m²)]]*BanHang[[#This Row],[Đơn giá (trđ/m²)]]</f>
        <v>3389.7900000000004</v>
      </c>
      <c r="L213" s="4">
        <v>0.01</v>
      </c>
      <c r="M213" t="s">
        <v>53</v>
      </c>
      <c r="N213" s="3">
        <f>IF(BanHang[[#This Row],[Trạng thái]]="Huỷ cọc",0,BanHang[[#This Row],[Giá trị hợp đồng (trđ)]]*(1-BanHang[[#This Row],[Chiết khấu (%)]]))</f>
        <v>3355.8921000000005</v>
      </c>
    </row>
    <row r="214" spans="1:14" x14ac:dyDescent="0.3">
      <c r="A214" t="s">
        <v>263</v>
      </c>
      <c r="B214" s="1">
        <v>46162.65625</v>
      </c>
      <c r="C214" t="str">
        <f>"Tháng "&amp;MONTH(BanHang[[#This Row],[Ngày giờ bán]])</f>
        <v>Tháng 5</v>
      </c>
      <c r="D214" t="s">
        <v>408</v>
      </c>
      <c r="E214" t="s">
        <v>180</v>
      </c>
      <c r="F214" t="s">
        <v>103</v>
      </c>
      <c r="G214" t="s">
        <v>78</v>
      </c>
      <c r="H214" t="s">
        <v>157</v>
      </c>
      <c r="I214" s="2">
        <v>211.6</v>
      </c>
      <c r="J214" s="2">
        <v>34.6</v>
      </c>
      <c r="K214" s="3">
        <f>BanHang[[#This Row],[Diện tích (m²)]]*BanHang[[#This Row],[Đơn giá (trđ/m²)]]</f>
        <v>7321.36</v>
      </c>
      <c r="L214" s="4">
        <v>0.02</v>
      </c>
      <c r="M214" t="s">
        <v>53</v>
      </c>
      <c r="N214" s="3">
        <f>IF(BanHang[[#This Row],[Trạng thái]]="Huỷ cọc",0,BanHang[[#This Row],[Giá trị hợp đồng (trđ)]]*(1-BanHang[[#This Row],[Chiết khấu (%)]]))</f>
        <v>7174.9327999999996</v>
      </c>
    </row>
    <row r="215" spans="1:14" x14ac:dyDescent="0.3">
      <c r="A215" t="s">
        <v>264</v>
      </c>
      <c r="B215" s="1">
        <v>46163.416666666664</v>
      </c>
      <c r="C215" t="str">
        <f>"Tháng "&amp;MONTH(BanHang[[#This Row],[Ngày giờ bán]])</f>
        <v>Tháng 5</v>
      </c>
      <c r="D215" t="s">
        <v>179</v>
      </c>
      <c r="E215" t="s">
        <v>180</v>
      </c>
      <c r="F215" t="s">
        <v>24</v>
      </c>
      <c r="G215" t="s">
        <v>18</v>
      </c>
      <c r="H215" t="s">
        <v>19</v>
      </c>
      <c r="I215" s="2">
        <v>85.6</v>
      </c>
      <c r="J215" s="2">
        <v>30.5</v>
      </c>
      <c r="K215" s="3">
        <f>BanHang[[#This Row],[Diện tích (m²)]]*BanHang[[#This Row],[Đơn giá (trđ/m²)]]</f>
        <v>2610.7999999999997</v>
      </c>
      <c r="L215" s="4">
        <v>0.03</v>
      </c>
      <c r="M215" t="s">
        <v>53</v>
      </c>
      <c r="N215" s="3">
        <f>IF(BanHang[[#This Row],[Trạng thái]]="Huỷ cọc",0,BanHang[[#This Row],[Giá trị hợp đồng (trđ)]]*(1-BanHang[[#This Row],[Chiết khấu (%)]]))</f>
        <v>2532.4759999999997</v>
      </c>
    </row>
    <row r="216" spans="1:14" x14ac:dyDescent="0.3">
      <c r="A216" t="s">
        <v>265</v>
      </c>
      <c r="B216" s="1">
        <v>46164.34375</v>
      </c>
      <c r="C216" t="str">
        <f>"Tháng "&amp;MONTH(BanHang[[#This Row],[Ngày giờ bán]])</f>
        <v>Tháng 5</v>
      </c>
      <c r="D216" t="s">
        <v>101</v>
      </c>
      <c r="E216" t="s">
        <v>50</v>
      </c>
      <c r="F216" t="s">
        <v>156</v>
      </c>
      <c r="G216" t="s">
        <v>18</v>
      </c>
      <c r="H216" t="s">
        <v>157</v>
      </c>
      <c r="I216" s="2">
        <v>75.900000000000006</v>
      </c>
      <c r="J216" s="2">
        <v>63.8</v>
      </c>
      <c r="K216" s="3">
        <f>BanHang[[#This Row],[Diện tích (m²)]]*BanHang[[#This Row],[Đơn giá (trđ/m²)]]</f>
        <v>4842.42</v>
      </c>
      <c r="L216" s="4">
        <v>0.08</v>
      </c>
      <c r="M216" t="s">
        <v>27</v>
      </c>
      <c r="N216" s="3">
        <f>IF(BanHang[[#This Row],[Trạng thái]]="Huỷ cọc",0,BanHang[[#This Row],[Giá trị hợp đồng (trđ)]]*(1-BanHang[[#This Row],[Chiết khấu (%)]]))</f>
        <v>4455.0264000000006</v>
      </c>
    </row>
    <row r="217" spans="1:14" x14ac:dyDescent="0.3">
      <c r="A217" t="s">
        <v>266</v>
      </c>
      <c r="B217" s="1">
        <v>46164.385416666664</v>
      </c>
      <c r="C217" t="str">
        <f>"Tháng "&amp;MONTH(BanHang[[#This Row],[Ngày giờ bán]])</f>
        <v>Tháng 5</v>
      </c>
      <c r="D217" t="s">
        <v>22</v>
      </c>
      <c r="E217" t="s">
        <v>23</v>
      </c>
      <c r="F217" t="s">
        <v>77</v>
      </c>
      <c r="G217" t="s">
        <v>51</v>
      </c>
      <c r="H217" t="s">
        <v>26</v>
      </c>
      <c r="I217" s="2">
        <v>120</v>
      </c>
      <c r="J217" s="2">
        <v>126.1</v>
      </c>
      <c r="K217" s="3">
        <f>BanHang[[#This Row],[Diện tích (m²)]]*BanHang[[#This Row],[Đơn giá (trđ/m²)]]</f>
        <v>15132</v>
      </c>
      <c r="L217" s="4">
        <v>0</v>
      </c>
      <c r="M217" t="s">
        <v>53</v>
      </c>
      <c r="N217" s="3">
        <f>IF(BanHang[[#This Row],[Trạng thái]]="Huỷ cọc",0,BanHang[[#This Row],[Giá trị hợp đồng (trđ)]]*(1-BanHang[[#This Row],[Chiết khấu (%)]]))</f>
        <v>15132</v>
      </c>
    </row>
    <row r="218" spans="1:14" x14ac:dyDescent="0.3">
      <c r="A218" t="s">
        <v>267</v>
      </c>
      <c r="B218" s="1">
        <v>46164.427083333328</v>
      </c>
      <c r="C218" t="str">
        <f>"Tháng "&amp;MONTH(BanHang[[#This Row],[Ngày giờ bán]])</f>
        <v>Tháng 5</v>
      </c>
      <c r="D218" t="s">
        <v>15</v>
      </c>
      <c r="E218" t="s">
        <v>16</v>
      </c>
      <c r="F218" t="s">
        <v>107</v>
      </c>
      <c r="G218" t="s">
        <v>51</v>
      </c>
      <c r="H218" t="s">
        <v>226</v>
      </c>
      <c r="I218" s="2">
        <v>395.5</v>
      </c>
      <c r="J218" s="2">
        <v>153.4</v>
      </c>
      <c r="K218" s="3">
        <f>BanHang[[#This Row],[Diện tích (m²)]]*BanHang[[#This Row],[Đơn giá (trđ/m²)]]</f>
        <v>60669.700000000004</v>
      </c>
      <c r="L218" s="4">
        <v>0</v>
      </c>
      <c r="M218" t="s">
        <v>53</v>
      </c>
      <c r="N218" s="3">
        <f>IF(BanHang[[#This Row],[Trạng thái]]="Huỷ cọc",0,BanHang[[#This Row],[Giá trị hợp đồng (trđ)]]*(1-BanHang[[#This Row],[Chiết khấu (%)]]))</f>
        <v>60669.700000000004</v>
      </c>
    </row>
    <row r="219" spans="1:14" x14ac:dyDescent="0.3">
      <c r="A219" t="s">
        <v>268</v>
      </c>
      <c r="B219" s="1">
        <v>46164.53125</v>
      </c>
      <c r="C219" t="str">
        <f>"Tháng "&amp;MONTH(BanHang[[#This Row],[Ngày giờ bán]])</f>
        <v>Tháng 5</v>
      </c>
      <c r="D219" t="s">
        <v>111</v>
      </c>
      <c r="E219" t="s">
        <v>50</v>
      </c>
      <c r="F219" t="s">
        <v>24</v>
      </c>
      <c r="G219" t="s">
        <v>108</v>
      </c>
      <c r="H219" t="s">
        <v>476</v>
      </c>
      <c r="I219" s="2">
        <v>87</v>
      </c>
      <c r="J219" s="2">
        <v>64.3</v>
      </c>
      <c r="K219" s="3">
        <f>BanHang[[#This Row],[Diện tích (m²)]]*BanHang[[#This Row],[Đơn giá (trđ/m²)]]</f>
        <v>5594.0999999999995</v>
      </c>
      <c r="L219" s="4">
        <v>0.03</v>
      </c>
      <c r="M219" t="s">
        <v>53</v>
      </c>
      <c r="N219" s="3">
        <f>IF(BanHang[[#This Row],[Trạng thái]]="Huỷ cọc",0,BanHang[[#This Row],[Giá trị hợp đồng (trđ)]]*(1-BanHang[[#This Row],[Chiết khấu (%)]]))</f>
        <v>5426.2769999999991</v>
      </c>
    </row>
    <row r="220" spans="1:14" x14ac:dyDescent="0.3">
      <c r="A220" t="s">
        <v>269</v>
      </c>
      <c r="B220" s="1">
        <v>46165.364583333336</v>
      </c>
      <c r="C220" t="str">
        <f>"Tháng "&amp;MONTH(BanHang[[#This Row],[Ngày giờ bán]])</f>
        <v>Tháng 5</v>
      </c>
      <c r="D220" t="s">
        <v>477</v>
      </c>
      <c r="E220" t="s">
        <v>106</v>
      </c>
      <c r="F220" t="s">
        <v>103</v>
      </c>
      <c r="G220" t="s">
        <v>108</v>
      </c>
      <c r="H220" t="s">
        <v>109</v>
      </c>
      <c r="I220" s="2">
        <v>111</v>
      </c>
      <c r="J220" s="2">
        <v>197.4</v>
      </c>
      <c r="K220" s="3">
        <f>BanHang[[#This Row],[Diện tích (m²)]]*BanHang[[#This Row],[Đơn giá (trđ/m²)]]</f>
        <v>21911.4</v>
      </c>
      <c r="L220" s="4">
        <v>0.03</v>
      </c>
      <c r="M220" t="s">
        <v>53</v>
      </c>
      <c r="N220" s="3">
        <f>IF(BanHang[[#This Row],[Trạng thái]]="Huỷ cọc",0,BanHang[[#This Row],[Giá trị hợp đồng (trđ)]]*(1-BanHang[[#This Row],[Chiết khấu (%)]]))</f>
        <v>21254.058000000001</v>
      </c>
    </row>
    <row r="221" spans="1:14" x14ac:dyDescent="0.3">
      <c r="A221" t="s">
        <v>270</v>
      </c>
      <c r="B221" s="1">
        <v>46165.729166666672</v>
      </c>
      <c r="C221" t="str">
        <f>"Tháng "&amp;MONTH(BanHang[[#This Row],[Ngày giờ bán]])</f>
        <v>Tháng 5</v>
      </c>
      <c r="D221" t="s">
        <v>105</v>
      </c>
      <c r="E221" t="s">
        <v>23</v>
      </c>
      <c r="F221" t="s">
        <v>156</v>
      </c>
      <c r="G221" t="s">
        <v>25</v>
      </c>
      <c r="H221" t="s">
        <v>476</v>
      </c>
      <c r="I221" s="2">
        <v>123.7</v>
      </c>
      <c r="J221" s="2">
        <v>98</v>
      </c>
      <c r="K221" s="3">
        <f>BanHang[[#This Row],[Diện tích (m²)]]*BanHang[[#This Row],[Đơn giá (trđ/m²)]]</f>
        <v>12122.6</v>
      </c>
      <c r="L221" s="4">
        <v>0.05</v>
      </c>
      <c r="M221" t="s">
        <v>27</v>
      </c>
      <c r="N221" s="3">
        <f>IF(BanHang[[#This Row],[Trạng thái]]="Huỷ cọc",0,BanHang[[#This Row],[Giá trị hợp đồng (trđ)]]*(1-BanHang[[#This Row],[Chiết khấu (%)]]))</f>
        <v>11516.47</v>
      </c>
    </row>
    <row r="222" spans="1:14" x14ac:dyDescent="0.3">
      <c r="A222" t="s">
        <v>271</v>
      </c>
      <c r="B222" s="1">
        <v>46165.760416666664</v>
      </c>
      <c r="C222" t="str">
        <f>"Tháng "&amp;MONTH(BanHang[[#This Row],[Ngày giờ bán]])</f>
        <v>Tháng 5</v>
      </c>
      <c r="D222" t="s">
        <v>101</v>
      </c>
      <c r="E222" t="s">
        <v>50</v>
      </c>
      <c r="F222" t="s">
        <v>17</v>
      </c>
      <c r="G222" t="s">
        <v>51</v>
      </c>
      <c r="H222" t="s">
        <v>109</v>
      </c>
      <c r="I222" s="2">
        <v>86.5</v>
      </c>
      <c r="J222" s="2">
        <v>48.8</v>
      </c>
      <c r="K222" s="3">
        <f>BanHang[[#This Row],[Diện tích (m²)]]*BanHang[[#This Row],[Đơn giá (trđ/m²)]]</f>
        <v>4221.2</v>
      </c>
      <c r="L222" s="4">
        <v>0</v>
      </c>
      <c r="M222" t="s">
        <v>20</v>
      </c>
      <c r="N222" s="3">
        <f>IF(BanHang[[#This Row],[Trạng thái]]="Huỷ cọc",0,BanHang[[#This Row],[Giá trị hợp đồng (trđ)]]*(1-BanHang[[#This Row],[Chiết khấu (%)]]))</f>
        <v>0</v>
      </c>
    </row>
    <row r="223" spans="1:14" x14ac:dyDescent="0.3">
      <c r="A223" t="s">
        <v>272</v>
      </c>
      <c r="B223" s="1">
        <v>46166.583333333336</v>
      </c>
      <c r="C223" t="str">
        <f>"Tháng "&amp;MONTH(BanHang[[#This Row],[Ngày giờ bán]])</f>
        <v>Tháng 5</v>
      </c>
      <c r="D223" t="s">
        <v>76</v>
      </c>
      <c r="E223" t="s">
        <v>50</v>
      </c>
      <c r="F223" t="s">
        <v>103</v>
      </c>
      <c r="G223" t="s">
        <v>51</v>
      </c>
      <c r="H223" t="s">
        <v>79</v>
      </c>
      <c r="I223" s="2">
        <v>91.7</v>
      </c>
      <c r="J223" s="2">
        <v>50.1</v>
      </c>
      <c r="K223" s="3">
        <f>BanHang[[#This Row],[Diện tích (m²)]]*BanHang[[#This Row],[Đơn giá (trđ/m²)]]</f>
        <v>4594.17</v>
      </c>
      <c r="L223" s="4">
        <v>0.03</v>
      </c>
      <c r="M223" t="s">
        <v>27</v>
      </c>
      <c r="N223" s="3">
        <f>IF(BanHang[[#This Row],[Trạng thái]]="Huỷ cọc",0,BanHang[[#This Row],[Giá trị hợp đồng (trđ)]]*(1-BanHang[[#This Row],[Chiết khấu (%)]]))</f>
        <v>4456.3449000000001</v>
      </c>
    </row>
    <row r="224" spans="1:14" x14ac:dyDescent="0.3">
      <c r="A224" t="s">
        <v>273</v>
      </c>
      <c r="B224" s="1">
        <v>46166.625</v>
      </c>
      <c r="C224" t="str">
        <f>"Tháng "&amp;MONTH(BanHang[[#This Row],[Ngày giờ bán]])</f>
        <v>Tháng 5</v>
      </c>
      <c r="D224" t="s">
        <v>225</v>
      </c>
      <c r="E224" t="s">
        <v>180</v>
      </c>
      <c r="F224" t="s">
        <v>103</v>
      </c>
      <c r="G224" t="s">
        <v>18</v>
      </c>
      <c r="H224" t="s">
        <v>109</v>
      </c>
      <c r="I224" s="2">
        <v>194.1</v>
      </c>
      <c r="J224" s="2">
        <v>46.3</v>
      </c>
      <c r="K224" s="3">
        <f>BanHang[[#This Row],[Diện tích (m²)]]*BanHang[[#This Row],[Đơn giá (trđ/m²)]]</f>
        <v>8986.83</v>
      </c>
      <c r="L224" s="4">
        <v>0.08</v>
      </c>
      <c r="M224" t="s">
        <v>53</v>
      </c>
      <c r="N224" s="3">
        <f>IF(BanHang[[#This Row],[Trạng thái]]="Huỷ cọc",0,BanHang[[#This Row],[Giá trị hợp đồng (trđ)]]*(1-BanHang[[#This Row],[Chiết khấu (%)]]))</f>
        <v>8267.883600000001</v>
      </c>
    </row>
    <row r="225" spans="1:14" x14ac:dyDescent="0.3">
      <c r="A225" t="s">
        <v>274</v>
      </c>
      <c r="B225" s="1">
        <v>46167.40625</v>
      </c>
      <c r="C225" t="str">
        <f>"Tháng "&amp;MONTH(BanHang[[#This Row],[Ngày giờ bán]])</f>
        <v>Tháng 5</v>
      </c>
      <c r="D225" t="s">
        <v>477</v>
      </c>
      <c r="E225" t="s">
        <v>106</v>
      </c>
      <c r="F225" t="s">
        <v>77</v>
      </c>
      <c r="G225" t="s">
        <v>108</v>
      </c>
      <c r="H225" t="s">
        <v>134</v>
      </c>
      <c r="I225" s="2">
        <v>161.1</v>
      </c>
      <c r="J225" s="2">
        <v>161.4</v>
      </c>
      <c r="K225" s="3">
        <f>BanHang[[#This Row],[Diện tích (m²)]]*BanHang[[#This Row],[Đơn giá (trđ/m²)]]</f>
        <v>26001.54</v>
      </c>
      <c r="L225" s="4">
        <v>0.05</v>
      </c>
      <c r="M225" t="s">
        <v>53</v>
      </c>
      <c r="N225" s="3">
        <f>IF(BanHang[[#This Row],[Trạng thái]]="Huỷ cọc",0,BanHang[[#This Row],[Giá trị hợp đồng (trđ)]]*(1-BanHang[[#This Row],[Chiết khấu (%)]]))</f>
        <v>24701.463</v>
      </c>
    </row>
    <row r="226" spans="1:14" x14ac:dyDescent="0.3">
      <c r="A226" t="s">
        <v>275</v>
      </c>
      <c r="B226" s="1">
        <v>46167.458333333336</v>
      </c>
      <c r="C226" t="str">
        <f>"Tháng "&amp;MONTH(BanHang[[#This Row],[Ngày giờ bán]])</f>
        <v>Tháng 5</v>
      </c>
      <c r="D226" t="s">
        <v>111</v>
      </c>
      <c r="E226" t="s">
        <v>50</v>
      </c>
      <c r="F226" t="s">
        <v>24</v>
      </c>
      <c r="G226" t="s">
        <v>78</v>
      </c>
      <c r="H226" t="s">
        <v>406</v>
      </c>
      <c r="I226" s="2">
        <v>71</v>
      </c>
      <c r="J226" s="2">
        <v>61.6</v>
      </c>
      <c r="K226" s="3">
        <f>BanHang[[#This Row],[Diện tích (m²)]]*BanHang[[#This Row],[Đơn giá (trđ/m²)]]</f>
        <v>4373.6000000000004</v>
      </c>
      <c r="L226" s="4">
        <v>0.05</v>
      </c>
      <c r="M226" t="s">
        <v>53</v>
      </c>
      <c r="N226" s="3">
        <f>IF(BanHang[[#This Row],[Trạng thái]]="Huỷ cọc",0,BanHang[[#This Row],[Giá trị hợp đồng (trđ)]]*(1-BanHang[[#This Row],[Chiết khấu (%)]]))</f>
        <v>4154.92</v>
      </c>
    </row>
    <row r="227" spans="1:14" x14ac:dyDescent="0.3">
      <c r="A227" t="s">
        <v>276</v>
      </c>
      <c r="B227" s="1">
        <v>46167.6875</v>
      </c>
      <c r="C227" t="str">
        <f>"Tháng "&amp;MONTH(BanHang[[#This Row],[Ngày giờ bán]])</f>
        <v>Tháng 5</v>
      </c>
      <c r="D227" t="s">
        <v>454</v>
      </c>
      <c r="E227" t="s">
        <v>106</v>
      </c>
      <c r="F227" t="s">
        <v>77</v>
      </c>
      <c r="G227" t="s">
        <v>78</v>
      </c>
      <c r="H227" t="s">
        <v>134</v>
      </c>
      <c r="I227" s="2">
        <v>109.1</v>
      </c>
      <c r="J227" s="2">
        <v>149.1</v>
      </c>
      <c r="K227" s="3">
        <f>BanHang[[#This Row],[Diện tích (m²)]]*BanHang[[#This Row],[Đơn giá (trđ/m²)]]</f>
        <v>16266.809999999998</v>
      </c>
      <c r="L227" s="4">
        <v>0.02</v>
      </c>
      <c r="M227" t="s">
        <v>53</v>
      </c>
      <c r="N227" s="3">
        <f>IF(BanHang[[#This Row],[Trạng thái]]="Huỷ cọc",0,BanHang[[#This Row],[Giá trị hợp đồng (trđ)]]*(1-BanHang[[#This Row],[Chiết khấu (%)]]))</f>
        <v>15941.473799999998</v>
      </c>
    </row>
    <row r="228" spans="1:14" x14ac:dyDescent="0.3">
      <c r="A228" t="s">
        <v>277</v>
      </c>
      <c r="B228" s="1">
        <v>46168.71875</v>
      </c>
      <c r="C228" t="str">
        <f>"Tháng "&amp;MONTH(BanHang[[#This Row],[Ngày giờ bán]])</f>
        <v>Tháng 5</v>
      </c>
      <c r="D228" t="s">
        <v>179</v>
      </c>
      <c r="E228" t="s">
        <v>180</v>
      </c>
      <c r="F228" t="s">
        <v>24</v>
      </c>
      <c r="G228" t="s">
        <v>108</v>
      </c>
      <c r="H228" t="s">
        <v>134</v>
      </c>
      <c r="I228" s="2">
        <v>83.2</v>
      </c>
      <c r="J228" s="2">
        <v>25.7</v>
      </c>
      <c r="K228" s="3">
        <f>BanHang[[#This Row],[Diện tích (m²)]]*BanHang[[#This Row],[Đơn giá (trđ/m²)]]</f>
        <v>2138.2400000000002</v>
      </c>
      <c r="L228" s="4">
        <v>0.01</v>
      </c>
      <c r="M228" t="s">
        <v>53</v>
      </c>
      <c r="N228" s="3">
        <f>IF(BanHang[[#This Row],[Trạng thái]]="Huỷ cọc",0,BanHang[[#This Row],[Giá trị hợp đồng (trđ)]]*(1-BanHang[[#This Row],[Chiết khấu (%)]]))</f>
        <v>2116.8576000000003</v>
      </c>
    </row>
    <row r="229" spans="1:14" x14ac:dyDescent="0.3">
      <c r="A229" t="s">
        <v>278</v>
      </c>
      <c r="B229" s="1">
        <v>46168.78125</v>
      </c>
      <c r="C229" t="str">
        <f>"Tháng "&amp;MONTH(BanHang[[#This Row],[Ngày giờ bán]])</f>
        <v>Tháng 5</v>
      </c>
      <c r="D229" t="s">
        <v>408</v>
      </c>
      <c r="E229" t="s">
        <v>180</v>
      </c>
      <c r="F229" t="s">
        <v>107</v>
      </c>
      <c r="G229" t="s">
        <v>51</v>
      </c>
      <c r="H229" t="s">
        <v>19</v>
      </c>
      <c r="I229" s="2">
        <v>178.2</v>
      </c>
      <c r="J229" s="2">
        <v>35.5</v>
      </c>
      <c r="K229" s="3">
        <f>BanHang[[#This Row],[Diện tích (m²)]]*BanHang[[#This Row],[Đơn giá (trđ/m²)]]</f>
        <v>6326.0999999999995</v>
      </c>
      <c r="L229" s="4">
        <v>0.05</v>
      </c>
      <c r="M229" t="s">
        <v>27</v>
      </c>
      <c r="N229" s="3">
        <f>IF(BanHang[[#This Row],[Trạng thái]]="Huỷ cọc",0,BanHang[[#This Row],[Giá trị hợp đồng (trđ)]]*(1-BanHang[[#This Row],[Chiết khấu (%)]]))</f>
        <v>6009.7949999999992</v>
      </c>
    </row>
    <row r="230" spans="1:14" x14ac:dyDescent="0.3">
      <c r="A230" t="s">
        <v>279</v>
      </c>
      <c r="B230" s="1">
        <v>46168.802083333328</v>
      </c>
      <c r="C230" t="str">
        <f>"Tháng "&amp;MONTH(BanHang[[#This Row],[Ngày giờ bán]])</f>
        <v>Tháng 5</v>
      </c>
      <c r="D230" t="s">
        <v>76</v>
      </c>
      <c r="E230" t="s">
        <v>50</v>
      </c>
      <c r="F230" t="s">
        <v>103</v>
      </c>
      <c r="G230" t="s">
        <v>18</v>
      </c>
      <c r="H230" t="s">
        <v>476</v>
      </c>
      <c r="I230" s="2">
        <v>79.7</v>
      </c>
      <c r="J230" s="2">
        <v>53.3</v>
      </c>
      <c r="K230" s="3">
        <f>BanHang[[#This Row],[Diện tích (m²)]]*BanHang[[#This Row],[Đơn giá (trđ/m²)]]</f>
        <v>4248.01</v>
      </c>
      <c r="L230" s="4">
        <v>0.01</v>
      </c>
      <c r="M230" t="s">
        <v>20</v>
      </c>
      <c r="N230" s="3">
        <f>IF(BanHang[[#This Row],[Trạng thái]]="Huỷ cọc",0,BanHang[[#This Row],[Giá trị hợp đồng (trđ)]]*(1-BanHang[[#This Row],[Chiết khấu (%)]]))</f>
        <v>0</v>
      </c>
    </row>
    <row r="231" spans="1:14" x14ac:dyDescent="0.3">
      <c r="A231" t="s">
        <v>280</v>
      </c>
      <c r="B231" s="1">
        <v>46168.822916666664</v>
      </c>
      <c r="C231" t="str">
        <f>"Tháng "&amp;MONTH(BanHang[[#This Row],[Ngày giờ bán]])</f>
        <v>Tháng 5</v>
      </c>
      <c r="D231" t="s">
        <v>408</v>
      </c>
      <c r="E231" t="s">
        <v>180</v>
      </c>
      <c r="F231" t="s">
        <v>107</v>
      </c>
      <c r="G231" t="s">
        <v>78</v>
      </c>
      <c r="H231" t="s">
        <v>52</v>
      </c>
      <c r="I231" s="2">
        <v>150.80000000000001</v>
      </c>
      <c r="J231" s="2">
        <v>38.799999999999997</v>
      </c>
      <c r="K231" s="3">
        <f>BanHang[[#This Row],[Diện tích (m²)]]*BanHang[[#This Row],[Đơn giá (trđ/m²)]]</f>
        <v>5851.04</v>
      </c>
      <c r="L231" s="4">
        <v>0.02</v>
      </c>
      <c r="M231" t="s">
        <v>53</v>
      </c>
      <c r="N231" s="3">
        <f>IF(BanHang[[#This Row],[Trạng thái]]="Huỷ cọc",0,BanHang[[#This Row],[Giá trị hợp đồng (trđ)]]*(1-BanHang[[#This Row],[Chiết khấu (%)]]))</f>
        <v>5734.0191999999997</v>
      </c>
    </row>
    <row r="232" spans="1:14" x14ac:dyDescent="0.3">
      <c r="A232" t="s">
        <v>281</v>
      </c>
      <c r="B232" s="1">
        <v>46169.40625</v>
      </c>
      <c r="C232" t="str">
        <f>"Tháng "&amp;MONTH(BanHang[[#This Row],[Ngày giờ bán]])</f>
        <v>Tháng 5</v>
      </c>
      <c r="D232" t="s">
        <v>49</v>
      </c>
      <c r="E232" t="s">
        <v>50</v>
      </c>
      <c r="F232" t="s">
        <v>107</v>
      </c>
      <c r="G232" t="s">
        <v>51</v>
      </c>
      <c r="H232" t="s">
        <v>134</v>
      </c>
      <c r="I232" s="2">
        <v>55.2</v>
      </c>
      <c r="J232" s="2">
        <v>60.8</v>
      </c>
      <c r="K232" s="3">
        <f>BanHang[[#This Row],[Diện tích (m²)]]*BanHang[[#This Row],[Đơn giá (trđ/m²)]]</f>
        <v>3356.16</v>
      </c>
      <c r="L232" s="4">
        <v>0</v>
      </c>
      <c r="M232" t="s">
        <v>53</v>
      </c>
      <c r="N232" s="3">
        <f>IF(BanHang[[#This Row],[Trạng thái]]="Huỷ cọc",0,BanHang[[#This Row],[Giá trị hợp đồng (trđ)]]*(1-BanHang[[#This Row],[Chiết khấu (%)]]))</f>
        <v>3356.16</v>
      </c>
    </row>
    <row r="233" spans="1:14" x14ac:dyDescent="0.3">
      <c r="A233" t="s">
        <v>282</v>
      </c>
      <c r="B233" s="1">
        <v>46169.708333333336</v>
      </c>
      <c r="C233" t="str">
        <f>"Tháng "&amp;MONTH(BanHang[[#This Row],[Ngày giờ bán]])</f>
        <v>Tháng 5</v>
      </c>
      <c r="D233" t="s">
        <v>49</v>
      </c>
      <c r="E233" t="s">
        <v>50</v>
      </c>
      <c r="F233" t="s">
        <v>17</v>
      </c>
      <c r="G233" t="s">
        <v>18</v>
      </c>
      <c r="H233" t="s">
        <v>157</v>
      </c>
      <c r="I233" s="2">
        <v>82.5</v>
      </c>
      <c r="J233" s="2">
        <v>58</v>
      </c>
      <c r="K233" s="3">
        <f>BanHang[[#This Row],[Diện tích (m²)]]*BanHang[[#This Row],[Đơn giá (trđ/m²)]]</f>
        <v>4785</v>
      </c>
      <c r="L233" s="4">
        <v>0.05</v>
      </c>
      <c r="M233" t="s">
        <v>53</v>
      </c>
      <c r="N233" s="3">
        <f>IF(BanHang[[#This Row],[Trạng thái]]="Huỷ cọc",0,BanHang[[#This Row],[Giá trị hợp đồng (trđ)]]*(1-BanHang[[#This Row],[Chiết khấu (%)]]))</f>
        <v>4545.75</v>
      </c>
    </row>
    <row r="234" spans="1:14" x14ac:dyDescent="0.3">
      <c r="A234" t="s">
        <v>283</v>
      </c>
      <c r="B234" s="1">
        <v>46169.739583333336</v>
      </c>
      <c r="C234" t="str">
        <f>"Tháng "&amp;MONTH(BanHang[[#This Row],[Ngày giờ bán]])</f>
        <v>Tháng 5</v>
      </c>
      <c r="D234" t="s">
        <v>111</v>
      </c>
      <c r="E234" t="s">
        <v>50</v>
      </c>
      <c r="F234" t="s">
        <v>24</v>
      </c>
      <c r="G234" t="s">
        <v>78</v>
      </c>
      <c r="H234" t="s">
        <v>134</v>
      </c>
      <c r="I234" s="2">
        <v>81.7</v>
      </c>
      <c r="J234" s="2">
        <v>51.6</v>
      </c>
      <c r="K234" s="3">
        <f>BanHang[[#This Row],[Diện tích (m²)]]*BanHang[[#This Row],[Đơn giá (trđ/m²)]]</f>
        <v>4215.72</v>
      </c>
      <c r="L234" s="4">
        <v>0.08</v>
      </c>
      <c r="M234" t="s">
        <v>53</v>
      </c>
      <c r="N234" s="3">
        <f>IF(BanHang[[#This Row],[Trạng thái]]="Huỷ cọc",0,BanHang[[#This Row],[Giá trị hợp đồng (trđ)]]*(1-BanHang[[#This Row],[Chiết khấu (%)]]))</f>
        <v>3878.4624000000003</v>
      </c>
    </row>
    <row r="235" spans="1:14" x14ac:dyDescent="0.3">
      <c r="A235" t="s">
        <v>284</v>
      </c>
      <c r="B235" s="1">
        <v>46169.78125</v>
      </c>
      <c r="C235" t="str">
        <f>"Tháng "&amp;MONTH(BanHang[[#This Row],[Ngày giờ bán]])</f>
        <v>Tháng 5</v>
      </c>
      <c r="D235" t="s">
        <v>111</v>
      </c>
      <c r="E235" t="s">
        <v>50</v>
      </c>
      <c r="F235" t="s">
        <v>107</v>
      </c>
      <c r="G235" t="s">
        <v>51</v>
      </c>
      <c r="H235" t="s">
        <v>26</v>
      </c>
      <c r="I235" s="2">
        <v>80.599999999999994</v>
      </c>
      <c r="J235" s="2">
        <v>42</v>
      </c>
      <c r="K235" s="3">
        <f>BanHang[[#This Row],[Diện tích (m²)]]*BanHang[[#This Row],[Đơn giá (trđ/m²)]]</f>
        <v>3385.2</v>
      </c>
      <c r="L235" s="4">
        <v>0</v>
      </c>
      <c r="M235" t="s">
        <v>20</v>
      </c>
      <c r="N235" s="3">
        <f>IF(BanHang[[#This Row],[Trạng thái]]="Huỷ cọc",0,BanHang[[#This Row],[Giá trị hợp đồng (trđ)]]*(1-BanHang[[#This Row],[Chiết khấu (%)]]))</f>
        <v>0</v>
      </c>
    </row>
    <row r="236" spans="1:14" x14ac:dyDescent="0.3">
      <c r="A236" t="s">
        <v>285</v>
      </c>
      <c r="B236" s="1">
        <v>46170.489583333336</v>
      </c>
      <c r="C236" t="str">
        <f>"Tháng "&amp;MONTH(BanHang[[#This Row],[Ngày giờ bán]])</f>
        <v>Tháng 5</v>
      </c>
      <c r="D236" t="s">
        <v>479</v>
      </c>
      <c r="E236" t="s">
        <v>23</v>
      </c>
      <c r="F236" t="s">
        <v>17</v>
      </c>
      <c r="G236" t="s">
        <v>51</v>
      </c>
      <c r="H236" t="s">
        <v>226</v>
      </c>
      <c r="I236" s="2">
        <v>140.4</v>
      </c>
      <c r="J236" s="2">
        <v>105.6</v>
      </c>
      <c r="K236" s="3">
        <f>BanHang[[#This Row],[Diện tích (m²)]]*BanHang[[#This Row],[Đơn giá (trđ/m²)]]</f>
        <v>14826.24</v>
      </c>
      <c r="L236" s="4">
        <v>7.0000000000000007E-2</v>
      </c>
      <c r="M236" t="s">
        <v>53</v>
      </c>
      <c r="N236" s="3">
        <f>IF(BanHang[[#This Row],[Trạng thái]]="Huỷ cọc",0,BanHang[[#This Row],[Giá trị hợp đồng (trđ)]]*(1-BanHang[[#This Row],[Chiết khấu (%)]]))</f>
        <v>13788.403199999999</v>
      </c>
    </row>
    <row r="237" spans="1:14" x14ac:dyDescent="0.3">
      <c r="A237" t="s">
        <v>286</v>
      </c>
      <c r="B237" s="1">
        <v>46170.59375</v>
      </c>
      <c r="C237" t="str">
        <f>"Tháng "&amp;MONTH(BanHang[[#This Row],[Ngày giờ bán]])</f>
        <v>Tháng 5</v>
      </c>
      <c r="D237" t="s">
        <v>479</v>
      </c>
      <c r="E237" t="s">
        <v>23</v>
      </c>
      <c r="F237" t="s">
        <v>24</v>
      </c>
      <c r="G237" t="s">
        <v>108</v>
      </c>
      <c r="H237" t="s">
        <v>79</v>
      </c>
      <c r="I237" s="2">
        <v>112.2</v>
      </c>
      <c r="J237" s="2">
        <v>138.9</v>
      </c>
      <c r="K237" s="3">
        <f>BanHang[[#This Row],[Diện tích (m²)]]*BanHang[[#This Row],[Đơn giá (trđ/m²)]]</f>
        <v>15584.580000000002</v>
      </c>
      <c r="L237" s="4">
        <v>0.03</v>
      </c>
      <c r="M237" t="s">
        <v>27</v>
      </c>
      <c r="N237" s="3">
        <f>IF(BanHang[[#This Row],[Trạng thái]]="Huỷ cọc",0,BanHang[[#This Row],[Giá trị hợp đồng (trđ)]]*(1-BanHang[[#This Row],[Chiết khấu (%)]]))</f>
        <v>15117.042600000001</v>
      </c>
    </row>
    <row r="238" spans="1:14" x14ac:dyDescent="0.3">
      <c r="A238" t="s">
        <v>287</v>
      </c>
      <c r="B238" s="1">
        <v>46170.614583333336</v>
      </c>
      <c r="C238" t="str">
        <f>"Tháng "&amp;MONTH(BanHang[[#This Row],[Ngày giờ bán]])</f>
        <v>Tháng 5</v>
      </c>
      <c r="D238" t="s">
        <v>454</v>
      </c>
      <c r="E238" t="s">
        <v>106</v>
      </c>
      <c r="F238" t="s">
        <v>17</v>
      </c>
      <c r="G238" t="s">
        <v>51</v>
      </c>
      <c r="H238" t="s">
        <v>157</v>
      </c>
      <c r="I238" s="2">
        <v>126.4</v>
      </c>
      <c r="J238" s="2">
        <v>175.9</v>
      </c>
      <c r="K238" s="3">
        <f>BanHang[[#This Row],[Diện tích (m²)]]*BanHang[[#This Row],[Đơn giá (trđ/m²)]]</f>
        <v>22233.760000000002</v>
      </c>
      <c r="L238" s="4">
        <v>0</v>
      </c>
      <c r="M238" t="s">
        <v>53</v>
      </c>
      <c r="N238" s="3">
        <f>IF(BanHang[[#This Row],[Trạng thái]]="Huỷ cọc",0,BanHang[[#This Row],[Giá trị hợp đồng (trđ)]]*(1-BanHang[[#This Row],[Chiết khấu (%)]]))</f>
        <v>22233.760000000002</v>
      </c>
    </row>
    <row r="239" spans="1:14" x14ac:dyDescent="0.3">
      <c r="A239" t="s">
        <v>288</v>
      </c>
      <c r="B239" s="1">
        <v>46171.333333333336</v>
      </c>
      <c r="C239" t="str">
        <f>"Tháng "&amp;MONTH(BanHang[[#This Row],[Ngày giờ bán]])</f>
        <v>Tháng 5</v>
      </c>
      <c r="D239" t="s">
        <v>479</v>
      </c>
      <c r="E239" t="s">
        <v>23</v>
      </c>
      <c r="F239" t="s">
        <v>107</v>
      </c>
      <c r="G239" t="s">
        <v>18</v>
      </c>
      <c r="H239" t="s">
        <v>157</v>
      </c>
      <c r="I239" s="2">
        <v>92.8</v>
      </c>
      <c r="J239" s="2">
        <v>119.8</v>
      </c>
      <c r="K239" s="3">
        <f>BanHang[[#This Row],[Diện tích (m²)]]*BanHang[[#This Row],[Đơn giá (trđ/m²)]]</f>
        <v>11117.439999999999</v>
      </c>
      <c r="L239" s="4">
        <v>0.01</v>
      </c>
      <c r="M239" t="s">
        <v>27</v>
      </c>
      <c r="N239" s="3">
        <f>IF(BanHang[[#This Row],[Trạng thái]]="Huỷ cọc",0,BanHang[[#This Row],[Giá trị hợp đồng (trđ)]]*(1-BanHang[[#This Row],[Chiết khấu (%)]]))</f>
        <v>11006.265599999999</v>
      </c>
    </row>
    <row r="240" spans="1:14" x14ac:dyDescent="0.3">
      <c r="A240" t="s">
        <v>289</v>
      </c>
      <c r="B240" s="1">
        <v>46171.65625</v>
      </c>
      <c r="C240" t="str">
        <f>"Tháng "&amp;MONTH(BanHang[[#This Row],[Ngày giờ bán]])</f>
        <v>Tháng 5</v>
      </c>
      <c r="D240" t="s">
        <v>49</v>
      </c>
      <c r="E240" t="s">
        <v>50</v>
      </c>
      <c r="F240" t="s">
        <v>103</v>
      </c>
      <c r="G240" t="s">
        <v>51</v>
      </c>
      <c r="H240" t="s">
        <v>52</v>
      </c>
      <c r="I240" s="2">
        <v>57.9</v>
      </c>
      <c r="J240" s="2">
        <v>52.4</v>
      </c>
      <c r="K240" s="3">
        <f>BanHang[[#This Row],[Diện tích (m²)]]*BanHang[[#This Row],[Đơn giá (trđ/m²)]]</f>
        <v>3033.96</v>
      </c>
      <c r="L240" s="4">
        <v>0</v>
      </c>
      <c r="M240" t="s">
        <v>53</v>
      </c>
      <c r="N240" s="3">
        <f>IF(BanHang[[#This Row],[Trạng thái]]="Huỷ cọc",0,BanHang[[#This Row],[Giá trị hợp đồng (trđ)]]*(1-BanHang[[#This Row],[Chiết khấu (%)]]))</f>
        <v>3033.96</v>
      </c>
    </row>
    <row r="241" spans="1:14" x14ac:dyDescent="0.3">
      <c r="A241" t="s">
        <v>290</v>
      </c>
      <c r="B241" s="1">
        <v>46171.822916666664</v>
      </c>
      <c r="C241" t="str">
        <f>"Tháng "&amp;MONTH(BanHang[[#This Row],[Ngày giờ bán]])</f>
        <v>Tháng 5</v>
      </c>
      <c r="D241" t="s">
        <v>111</v>
      </c>
      <c r="E241" t="s">
        <v>50</v>
      </c>
      <c r="F241" t="s">
        <v>77</v>
      </c>
      <c r="G241" t="s">
        <v>78</v>
      </c>
      <c r="H241" t="s">
        <v>26</v>
      </c>
      <c r="I241" s="2">
        <v>83.1</v>
      </c>
      <c r="J241" s="2">
        <v>62.1</v>
      </c>
      <c r="K241" s="3">
        <f>BanHang[[#This Row],[Diện tích (m²)]]*BanHang[[#This Row],[Đơn giá (trđ/m²)]]</f>
        <v>5160.51</v>
      </c>
      <c r="L241" s="4">
        <v>0</v>
      </c>
      <c r="M241" t="s">
        <v>53</v>
      </c>
      <c r="N241" s="3">
        <f>IF(BanHang[[#This Row],[Trạng thái]]="Huỷ cọc",0,BanHang[[#This Row],[Giá trị hợp đồng (trđ)]]*(1-BanHang[[#This Row],[Chiết khấu (%)]]))</f>
        <v>5160.51</v>
      </c>
    </row>
    <row r="242" spans="1:14" x14ac:dyDescent="0.3">
      <c r="A242" t="s">
        <v>291</v>
      </c>
      <c r="B242" s="1">
        <v>46172.385416666664</v>
      </c>
      <c r="C242" t="str">
        <f>"Tháng "&amp;MONTH(BanHang[[#This Row],[Ngày giờ bán]])</f>
        <v>Tháng 5</v>
      </c>
      <c r="D242" t="s">
        <v>179</v>
      </c>
      <c r="E242" t="s">
        <v>180</v>
      </c>
      <c r="F242" t="s">
        <v>156</v>
      </c>
      <c r="G242" t="s">
        <v>18</v>
      </c>
      <c r="H242" t="s">
        <v>134</v>
      </c>
      <c r="I242" s="2">
        <v>147</v>
      </c>
      <c r="J242" s="2">
        <v>52.9</v>
      </c>
      <c r="K242" s="3">
        <f>BanHang[[#This Row],[Diện tích (m²)]]*BanHang[[#This Row],[Đơn giá (trđ/m²)]]</f>
        <v>7776.3</v>
      </c>
      <c r="L242" s="4">
        <v>0</v>
      </c>
      <c r="M242" t="s">
        <v>20</v>
      </c>
      <c r="N242" s="3">
        <f>IF(BanHang[[#This Row],[Trạng thái]]="Huỷ cọc",0,BanHang[[#This Row],[Giá trị hợp đồng (trđ)]]*(1-BanHang[[#This Row],[Chiết khấu (%)]]))</f>
        <v>0</v>
      </c>
    </row>
    <row r="243" spans="1:14" x14ac:dyDescent="0.3">
      <c r="A243" t="s">
        <v>292</v>
      </c>
      <c r="B243" s="1">
        <v>46172.541666666664</v>
      </c>
      <c r="C243" t="str">
        <f>"Tháng "&amp;MONTH(BanHang[[#This Row],[Ngày giờ bán]])</f>
        <v>Tháng 5</v>
      </c>
      <c r="D243" t="s">
        <v>179</v>
      </c>
      <c r="E243" t="s">
        <v>180</v>
      </c>
      <c r="F243" t="s">
        <v>17</v>
      </c>
      <c r="G243" t="s">
        <v>18</v>
      </c>
      <c r="H243" t="s">
        <v>52</v>
      </c>
      <c r="I243" s="2">
        <v>186.3</v>
      </c>
      <c r="J243" s="2">
        <v>29.3</v>
      </c>
      <c r="K243" s="3">
        <f>BanHang[[#This Row],[Diện tích (m²)]]*BanHang[[#This Row],[Đơn giá (trđ/m²)]]</f>
        <v>5458.59</v>
      </c>
      <c r="L243" s="4">
        <v>0.02</v>
      </c>
      <c r="M243" t="s">
        <v>27</v>
      </c>
      <c r="N243" s="3">
        <f>IF(BanHang[[#This Row],[Trạng thái]]="Huỷ cọc",0,BanHang[[#This Row],[Giá trị hợp đồng (trđ)]]*(1-BanHang[[#This Row],[Chiết khấu (%)]]))</f>
        <v>5349.4182000000001</v>
      </c>
    </row>
    <row r="244" spans="1:14" x14ac:dyDescent="0.3">
      <c r="A244" t="s">
        <v>293</v>
      </c>
      <c r="B244" s="1">
        <v>46172.625</v>
      </c>
      <c r="C244" t="str">
        <f>"Tháng "&amp;MONTH(BanHang[[#This Row],[Ngày giờ bán]])</f>
        <v>Tháng 5</v>
      </c>
      <c r="D244" t="s">
        <v>408</v>
      </c>
      <c r="E244" t="s">
        <v>180</v>
      </c>
      <c r="F244" t="s">
        <v>107</v>
      </c>
      <c r="G244" t="s">
        <v>18</v>
      </c>
      <c r="H244" t="s">
        <v>476</v>
      </c>
      <c r="I244" s="2">
        <v>111</v>
      </c>
      <c r="J244" s="2">
        <v>46.5</v>
      </c>
      <c r="K244" s="3">
        <f>BanHang[[#This Row],[Diện tích (m²)]]*BanHang[[#This Row],[Đơn giá (trđ/m²)]]</f>
        <v>5161.5</v>
      </c>
      <c r="L244" s="4">
        <v>0.05</v>
      </c>
      <c r="M244" t="s">
        <v>20</v>
      </c>
      <c r="N244" s="3">
        <f>IF(BanHang[[#This Row],[Trạng thái]]="Huỷ cọc",0,BanHang[[#This Row],[Giá trị hợp đồng (trđ)]]*(1-BanHang[[#This Row],[Chiết khấu (%)]]))</f>
        <v>0</v>
      </c>
    </row>
    <row r="245" spans="1:14" x14ac:dyDescent="0.3">
      <c r="A245" t="s">
        <v>294</v>
      </c>
      <c r="B245" s="1">
        <v>46174.739583333336</v>
      </c>
      <c r="C245" t="str">
        <f>"Tháng "&amp;MONTH(BanHang[[#This Row],[Ngày giờ bán]])</f>
        <v>Tháng 6</v>
      </c>
      <c r="D245" t="s">
        <v>454</v>
      </c>
      <c r="E245" t="s">
        <v>106</v>
      </c>
      <c r="F245" t="s">
        <v>107</v>
      </c>
      <c r="G245" t="s">
        <v>51</v>
      </c>
      <c r="H245" t="s">
        <v>134</v>
      </c>
      <c r="I245" s="2">
        <v>169.5</v>
      </c>
      <c r="J245" s="2">
        <v>188.7</v>
      </c>
      <c r="K245" s="3">
        <f>BanHang[[#This Row],[Diện tích (m²)]]*BanHang[[#This Row],[Đơn giá (trđ/m²)]]</f>
        <v>31984.649999999998</v>
      </c>
      <c r="L245" s="4">
        <v>0</v>
      </c>
      <c r="M245" t="s">
        <v>27</v>
      </c>
      <c r="N245" s="3">
        <f>IF(BanHang[[#This Row],[Trạng thái]]="Huỷ cọc",0,BanHang[[#This Row],[Giá trị hợp đồng (trđ)]]*(1-BanHang[[#This Row],[Chiết khấu (%)]]))</f>
        <v>31984.649999999998</v>
      </c>
    </row>
    <row r="246" spans="1:14" x14ac:dyDescent="0.3">
      <c r="A246" t="s">
        <v>295</v>
      </c>
      <c r="B246" s="1">
        <v>46175.416666666664</v>
      </c>
      <c r="C246" t="str">
        <f>"Tháng "&amp;MONTH(BanHang[[#This Row],[Ngày giờ bán]])</f>
        <v>Tháng 6</v>
      </c>
      <c r="D246" t="s">
        <v>477</v>
      </c>
      <c r="E246" t="s">
        <v>106</v>
      </c>
      <c r="F246" t="s">
        <v>24</v>
      </c>
      <c r="G246" t="s">
        <v>51</v>
      </c>
      <c r="H246" t="s">
        <v>26</v>
      </c>
      <c r="I246" s="2">
        <v>131.5</v>
      </c>
      <c r="J246" s="2">
        <v>117.1</v>
      </c>
      <c r="K246" s="3">
        <f>BanHang[[#This Row],[Diện tích (m²)]]*BanHang[[#This Row],[Đơn giá (trđ/m²)]]</f>
        <v>15398.65</v>
      </c>
      <c r="L246" s="4">
        <v>0</v>
      </c>
      <c r="M246" t="s">
        <v>27</v>
      </c>
      <c r="N246" s="3">
        <f>IF(BanHang[[#This Row],[Trạng thái]]="Huỷ cọc",0,BanHang[[#This Row],[Giá trị hợp đồng (trđ)]]*(1-BanHang[[#This Row],[Chiết khấu (%)]]))</f>
        <v>15398.65</v>
      </c>
    </row>
    <row r="247" spans="1:14" x14ac:dyDescent="0.3">
      <c r="A247" t="s">
        <v>296</v>
      </c>
      <c r="B247" s="1">
        <v>46176.427083333328</v>
      </c>
      <c r="C247" t="str">
        <f>"Tháng "&amp;MONTH(BanHang[[#This Row],[Ngày giờ bán]])</f>
        <v>Tháng 6</v>
      </c>
      <c r="D247" t="s">
        <v>249</v>
      </c>
      <c r="E247" t="s">
        <v>16</v>
      </c>
      <c r="F247" t="s">
        <v>107</v>
      </c>
      <c r="G247" t="s">
        <v>108</v>
      </c>
      <c r="H247" t="s">
        <v>19</v>
      </c>
      <c r="I247" s="2">
        <v>250.3</v>
      </c>
      <c r="J247" s="2">
        <v>94.9</v>
      </c>
      <c r="K247" s="3">
        <f>BanHang[[#This Row],[Diện tích (m²)]]*BanHang[[#This Row],[Đơn giá (trđ/m²)]]</f>
        <v>23753.47</v>
      </c>
      <c r="L247" s="4">
        <v>0.02</v>
      </c>
      <c r="M247" t="s">
        <v>53</v>
      </c>
      <c r="N247" s="3">
        <f>IF(BanHang[[#This Row],[Trạng thái]]="Huỷ cọc",0,BanHang[[#This Row],[Giá trị hợp đồng (trđ)]]*(1-BanHang[[#This Row],[Chiết khấu (%)]]))</f>
        <v>23278.400600000001</v>
      </c>
    </row>
    <row r="248" spans="1:14" x14ac:dyDescent="0.3">
      <c r="A248" t="s">
        <v>297</v>
      </c>
      <c r="B248" s="1">
        <v>46176.5</v>
      </c>
      <c r="C248" t="str">
        <f>"Tháng "&amp;MONTH(BanHang[[#This Row],[Ngày giờ bán]])</f>
        <v>Tháng 6</v>
      </c>
      <c r="D248" t="s">
        <v>408</v>
      </c>
      <c r="E248" t="s">
        <v>180</v>
      </c>
      <c r="F248" t="s">
        <v>77</v>
      </c>
      <c r="G248" t="s">
        <v>108</v>
      </c>
      <c r="H248" t="s">
        <v>52</v>
      </c>
      <c r="I248" s="2">
        <v>90.6</v>
      </c>
      <c r="J248" s="2">
        <v>29.6</v>
      </c>
      <c r="K248" s="3">
        <f>BanHang[[#This Row],[Diện tích (m²)]]*BanHang[[#This Row],[Đơn giá (trđ/m²)]]</f>
        <v>2681.7599999999998</v>
      </c>
      <c r="L248" s="4">
        <v>0.08</v>
      </c>
      <c r="M248" t="s">
        <v>53</v>
      </c>
      <c r="N248" s="3">
        <f>IF(BanHang[[#This Row],[Trạng thái]]="Huỷ cọc",0,BanHang[[#This Row],[Giá trị hợp đồng (trđ)]]*(1-BanHang[[#This Row],[Chiết khấu (%)]]))</f>
        <v>2467.2192</v>
      </c>
    </row>
    <row r="249" spans="1:14" x14ac:dyDescent="0.3">
      <c r="A249" t="s">
        <v>298</v>
      </c>
      <c r="B249" s="1">
        <v>46176.625</v>
      </c>
      <c r="C249" t="str">
        <f>"Tháng "&amp;MONTH(BanHang[[#This Row],[Ngày giờ bán]])</f>
        <v>Tháng 6</v>
      </c>
      <c r="D249" t="s">
        <v>408</v>
      </c>
      <c r="E249" t="s">
        <v>180</v>
      </c>
      <c r="F249" t="s">
        <v>77</v>
      </c>
      <c r="G249" t="s">
        <v>51</v>
      </c>
      <c r="H249" t="s">
        <v>79</v>
      </c>
      <c r="I249" s="2">
        <v>116.6</v>
      </c>
      <c r="J249" s="2">
        <v>23.6</v>
      </c>
      <c r="K249" s="3">
        <f>BanHang[[#This Row],[Diện tích (m²)]]*BanHang[[#This Row],[Đơn giá (trđ/m²)]]</f>
        <v>2751.76</v>
      </c>
      <c r="L249" s="4">
        <v>0.05</v>
      </c>
      <c r="M249" t="s">
        <v>27</v>
      </c>
      <c r="N249" s="3">
        <f>IF(BanHang[[#This Row],[Trạng thái]]="Huỷ cọc",0,BanHang[[#This Row],[Giá trị hợp đồng (trđ)]]*(1-BanHang[[#This Row],[Chiết khấu (%)]]))</f>
        <v>2614.172</v>
      </c>
    </row>
    <row r="250" spans="1:14" x14ac:dyDescent="0.3">
      <c r="A250" t="s">
        <v>299</v>
      </c>
      <c r="B250" s="1">
        <v>46176.6875</v>
      </c>
      <c r="C250" t="str">
        <f>"Tháng "&amp;MONTH(BanHang[[#This Row],[Ngày giờ bán]])</f>
        <v>Tháng 6</v>
      </c>
      <c r="D250" t="s">
        <v>76</v>
      </c>
      <c r="E250" t="s">
        <v>50</v>
      </c>
      <c r="F250" t="s">
        <v>24</v>
      </c>
      <c r="G250" t="s">
        <v>25</v>
      </c>
      <c r="H250" t="s">
        <v>226</v>
      </c>
      <c r="I250" s="2">
        <v>86.1</v>
      </c>
      <c r="J250" s="2">
        <v>74.7</v>
      </c>
      <c r="K250" s="3">
        <f>BanHang[[#This Row],[Diện tích (m²)]]*BanHang[[#This Row],[Đơn giá (trđ/m²)]]</f>
        <v>6431.67</v>
      </c>
      <c r="L250" s="4">
        <v>0.03</v>
      </c>
      <c r="M250" t="s">
        <v>53</v>
      </c>
      <c r="N250" s="3">
        <f>IF(BanHang[[#This Row],[Trạng thái]]="Huỷ cọc",0,BanHang[[#This Row],[Giá trị hợp đồng (trđ)]]*(1-BanHang[[#This Row],[Chiết khấu (%)]]))</f>
        <v>6238.7199000000001</v>
      </c>
    </row>
    <row r="251" spans="1:14" x14ac:dyDescent="0.3">
      <c r="A251" t="s">
        <v>300</v>
      </c>
      <c r="B251" s="1">
        <v>46177.364583333336</v>
      </c>
      <c r="C251" t="str">
        <f>"Tháng "&amp;MONTH(BanHang[[#This Row],[Ngày giờ bán]])</f>
        <v>Tháng 6</v>
      </c>
      <c r="D251" t="s">
        <v>225</v>
      </c>
      <c r="E251" t="s">
        <v>180</v>
      </c>
      <c r="F251" t="s">
        <v>77</v>
      </c>
      <c r="G251" t="s">
        <v>25</v>
      </c>
      <c r="H251" t="s">
        <v>109</v>
      </c>
      <c r="I251" s="2">
        <v>213.1</v>
      </c>
      <c r="J251" s="2">
        <v>43</v>
      </c>
      <c r="K251" s="3">
        <f>BanHang[[#This Row],[Diện tích (m²)]]*BanHang[[#This Row],[Đơn giá (trđ/m²)]]</f>
        <v>9163.2999999999993</v>
      </c>
      <c r="L251" s="4">
        <v>7.0000000000000007E-2</v>
      </c>
      <c r="M251" t="s">
        <v>27</v>
      </c>
      <c r="N251" s="3">
        <f>IF(BanHang[[#This Row],[Trạng thái]]="Huỷ cọc",0,BanHang[[#This Row],[Giá trị hợp đồng (trđ)]]*(1-BanHang[[#This Row],[Chiết khấu (%)]]))</f>
        <v>8521.8689999999988</v>
      </c>
    </row>
    <row r="252" spans="1:14" x14ac:dyDescent="0.3">
      <c r="A252" t="s">
        <v>301</v>
      </c>
      <c r="B252" s="1">
        <v>46177.416666666664</v>
      </c>
      <c r="C252" t="str">
        <f>"Tháng "&amp;MONTH(BanHang[[#This Row],[Ngày giờ bán]])</f>
        <v>Tháng 6</v>
      </c>
      <c r="D252" t="s">
        <v>454</v>
      </c>
      <c r="E252" t="s">
        <v>106</v>
      </c>
      <c r="F252" t="s">
        <v>77</v>
      </c>
      <c r="G252" t="s">
        <v>18</v>
      </c>
      <c r="H252" t="s">
        <v>26</v>
      </c>
      <c r="I252" s="2">
        <v>151.9</v>
      </c>
      <c r="J252" s="2">
        <v>158.1</v>
      </c>
      <c r="K252" s="3">
        <f>BanHang[[#This Row],[Diện tích (m²)]]*BanHang[[#This Row],[Đơn giá (trđ/m²)]]</f>
        <v>24015.39</v>
      </c>
      <c r="L252" s="4">
        <v>0.03</v>
      </c>
      <c r="M252" t="s">
        <v>27</v>
      </c>
      <c r="N252" s="3">
        <f>IF(BanHang[[#This Row],[Trạng thái]]="Huỷ cọc",0,BanHang[[#This Row],[Giá trị hợp đồng (trđ)]]*(1-BanHang[[#This Row],[Chiết khấu (%)]]))</f>
        <v>23294.9283</v>
      </c>
    </row>
    <row r="253" spans="1:14" x14ac:dyDescent="0.3">
      <c r="A253" t="s">
        <v>302</v>
      </c>
      <c r="B253" s="1">
        <v>46177.458333333336</v>
      </c>
      <c r="C253" t="str">
        <f>"Tháng "&amp;MONTH(BanHang[[#This Row],[Ngày giờ bán]])</f>
        <v>Tháng 6</v>
      </c>
      <c r="D253" t="s">
        <v>478</v>
      </c>
      <c r="E253" t="s">
        <v>384</v>
      </c>
      <c r="F253" t="s">
        <v>24</v>
      </c>
      <c r="G253" t="s">
        <v>108</v>
      </c>
      <c r="H253" t="s">
        <v>134</v>
      </c>
      <c r="I253" s="2">
        <v>61.2</v>
      </c>
      <c r="J253" s="2">
        <v>63.4</v>
      </c>
      <c r="K253" s="3">
        <f>BanHang[[#This Row],[Diện tích (m²)]]*BanHang[[#This Row],[Đơn giá (trđ/m²)]]</f>
        <v>3880.08</v>
      </c>
      <c r="L253" s="4">
        <v>0</v>
      </c>
      <c r="M253" t="s">
        <v>53</v>
      </c>
      <c r="N253" s="3">
        <f>IF(BanHang[[#This Row],[Trạng thái]]="Huỷ cọc",0,BanHang[[#This Row],[Giá trị hợp đồng (trđ)]]*(1-BanHang[[#This Row],[Chiết khấu (%)]]))</f>
        <v>3880.08</v>
      </c>
    </row>
    <row r="254" spans="1:14" x14ac:dyDescent="0.3">
      <c r="A254" t="s">
        <v>303</v>
      </c>
      <c r="B254" s="1">
        <v>46178.520833333336</v>
      </c>
      <c r="C254" t="str">
        <f>"Tháng "&amp;MONTH(BanHang[[#This Row],[Ngày giờ bán]])</f>
        <v>Tháng 6</v>
      </c>
      <c r="D254" t="s">
        <v>76</v>
      </c>
      <c r="E254" t="s">
        <v>50</v>
      </c>
      <c r="F254" t="s">
        <v>24</v>
      </c>
      <c r="G254" t="s">
        <v>108</v>
      </c>
      <c r="H254" t="s">
        <v>52</v>
      </c>
      <c r="I254" s="2">
        <v>84.9</v>
      </c>
      <c r="J254" s="2">
        <v>58.3</v>
      </c>
      <c r="K254" s="3">
        <f>BanHang[[#This Row],[Diện tích (m²)]]*BanHang[[#This Row],[Đơn giá (trđ/m²)]]</f>
        <v>4949.67</v>
      </c>
      <c r="L254" s="4">
        <v>0.02</v>
      </c>
      <c r="M254" t="s">
        <v>53</v>
      </c>
      <c r="N254" s="3">
        <f>IF(BanHang[[#This Row],[Trạng thái]]="Huỷ cọc",0,BanHang[[#This Row],[Giá trị hợp đồng (trđ)]]*(1-BanHang[[#This Row],[Chiết khấu (%)]]))</f>
        <v>4850.6765999999998</v>
      </c>
    </row>
    <row r="255" spans="1:14" x14ac:dyDescent="0.3">
      <c r="A255" t="s">
        <v>304</v>
      </c>
      <c r="B255" s="1">
        <v>46178.541666666664</v>
      </c>
      <c r="C255" t="str">
        <f>"Tháng "&amp;MONTH(BanHang[[#This Row],[Ngày giờ bán]])</f>
        <v>Tháng 6</v>
      </c>
      <c r="D255" t="s">
        <v>408</v>
      </c>
      <c r="E255" t="s">
        <v>180</v>
      </c>
      <c r="F255" t="s">
        <v>77</v>
      </c>
      <c r="G255" t="s">
        <v>18</v>
      </c>
      <c r="H255" t="s">
        <v>406</v>
      </c>
      <c r="I255" s="2">
        <v>186.9</v>
      </c>
      <c r="J255" s="2">
        <v>36.200000000000003</v>
      </c>
      <c r="K255" s="3">
        <f>BanHang[[#This Row],[Diện tích (m²)]]*BanHang[[#This Row],[Đơn giá (trđ/m²)]]</f>
        <v>6765.7800000000007</v>
      </c>
      <c r="L255" s="4">
        <v>0</v>
      </c>
      <c r="M255" t="s">
        <v>27</v>
      </c>
      <c r="N255" s="3">
        <f>IF(BanHang[[#This Row],[Trạng thái]]="Huỷ cọc",0,BanHang[[#This Row],[Giá trị hợp đồng (trđ)]]*(1-BanHang[[#This Row],[Chiết khấu (%)]]))</f>
        <v>6765.7800000000007</v>
      </c>
    </row>
    <row r="256" spans="1:14" x14ac:dyDescent="0.3">
      <c r="A256" t="s">
        <v>305</v>
      </c>
      <c r="B256" s="1">
        <v>46178.739583333336</v>
      </c>
      <c r="C256" t="str">
        <f>"Tháng "&amp;MONTH(BanHang[[#This Row],[Ngày giờ bán]])</f>
        <v>Tháng 6</v>
      </c>
      <c r="D256" t="s">
        <v>76</v>
      </c>
      <c r="E256" t="s">
        <v>50</v>
      </c>
      <c r="F256" t="s">
        <v>17</v>
      </c>
      <c r="G256" t="s">
        <v>108</v>
      </c>
      <c r="H256" t="s">
        <v>134</v>
      </c>
      <c r="I256" s="2">
        <v>85.8</v>
      </c>
      <c r="J256" s="2">
        <v>75.7</v>
      </c>
      <c r="K256" s="3">
        <f>BanHang[[#This Row],[Diện tích (m²)]]*BanHang[[#This Row],[Đơn giá (trđ/m²)]]</f>
        <v>6495.06</v>
      </c>
      <c r="L256" s="4">
        <v>0.03</v>
      </c>
      <c r="M256" t="s">
        <v>53</v>
      </c>
      <c r="N256" s="3">
        <f>IF(BanHang[[#This Row],[Trạng thái]]="Huỷ cọc",0,BanHang[[#This Row],[Giá trị hợp đồng (trđ)]]*(1-BanHang[[#This Row],[Chiết khấu (%)]]))</f>
        <v>6300.2082</v>
      </c>
    </row>
    <row r="257" spans="1:14" x14ac:dyDescent="0.3">
      <c r="A257" t="s">
        <v>306</v>
      </c>
      <c r="B257" s="1">
        <v>46178.739583333336</v>
      </c>
      <c r="C257" t="str">
        <f>"Tháng "&amp;MONTH(BanHang[[#This Row],[Ngày giờ bán]])</f>
        <v>Tháng 6</v>
      </c>
      <c r="D257" t="s">
        <v>76</v>
      </c>
      <c r="E257" t="s">
        <v>50</v>
      </c>
      <c r="F257" t="s">
        <v>17</v>
      </c>
      <c r="G257" t="s">
        <v>51</v>
      </c>
      <c r="H257" t="s">
        <v>476</v>
      </c>
      <c r="I257" s="2">
        <v>83.2</v>
      </c>
      <c r="J257" s="2">
        <v>62.1</v>
      </c>
      <c r="K257" s="3">
        <f>BanHang[[#This Row],[Diện tích (m²)]]*BanHang[[#This Row],[Đơn giá (trđ/m²)]]</f>
        <v>5166.72</v>
      </c>
      <c r="L257" s="4">
        <v>0</v>
      </c>
      <c r="M257" t="s">
        <v>53</v>
      </c>
      <c r="N257" s="3">
        <f>IF(BanHang[[#This Row],[Trạng thái]]="Huỷ cọc",0,BanHang[[#This Row],[Giá trị hợp đồng (trđ)]]*(1-BanHang[[#This Row],[Chiết khấu (%)]]))</f>
        <v>5166.72</v>
      </c>
    </row>
    <row r="258" spans="1:14" x14ac:dyDescent="0.3">
      <c r="A258" t="s">
        <v>307</v>
      </c>
      <c r="B258" s="1">
        <v>46179.635416666664</v>
      </c>
      <c r="C258" t="str">
        <f>"Tháng "&amp;MONTH(BanHang[[#This Row],[Ngày giờ bán]])</f>
        <v>Tháng 6</v>
      </c>
      <c r="D258" t="s">
        <v>15</v>
      </c>
      <c r="E258" t="s">
        <v>16</v>
      </c>
      <c r="F258" t="s">
        <v>103</v>
      </c>
      <c r="G258" t="s">
        <v>18</v>
      </c>
      <c r="H258" t="s">
        <v>79</v>
      </c>
      <c r="I258" s="2">
        <v>224.9</v>
      </c>
      <c r="J258" s="2">
        <v>175.8</v>
      </c>
      <c r="K258" s="3">
        <f>BanHang[[#This Row],[Diện tích (m²)]]*BanHang[[#This Row],[Đơn giá (trđ/m²)]]</f>
        <v>39537.420000000006</v>
      </c>
      <c r="L258" s="4">
        <v>0.05</v>
      </c>
      <c r="M258" t="s">
        <v>53</v>
      </c>
      <c r="N258" s="3">
        <f>IF(BanHang[[#This Row],[Trạng thái]]="Huỷ cọc",0,BanHang[[#This Row],[Giá trị hợp đồng (trđ)]]*(1-BanHang[[#This Row],[Chiết khấu (%)]]))</f>
        <v>37560.549000000006</v>
      </c>
    </row>
    <row r="259" spans="1:14" x14ac:dyDescent="0.3">
      <c r="A259" t="s">
        <v>308</v>
      </c>
      <c r="B259" s="1">
        <v>46179.635416666664</v>
      </c>
      <c r="C259" t="str">
        <f>"Tháng "&amp;MONTH(BanHang[[#This Row],[Ngày giờ bán]])</f>
        <v>Tháng 6</v>
      </c>
      <c r="D259" t="s">
        <v>408</v>
      </c>
      <c r="E259" t="s">
        <v>180</v>
      </c>
      <c r="F259" t="s">
        <v>77</v>
      </c>
      <c r="G259" t="s">
        <v>108</v>
      </c>
      <c r="H259" t="s">
        <v>52</v>
      </c>
      <c r="I259" s="2">
        <v>201.2</v>
      </c>
      <c r="J259" s="2">
        <v>22.4</v>
      </c>
      <c r="K259" s="3">
        <f>BanHang[[#This Row],[Diện tích (m²)]]*BanHang[[#This Row],[Đơn giá (trđ/m²)]]</f>
        <v>4506.8799999999992</v>
      </c>
      <c r="L259" s="4">
        <v>0.03</v>
      </c>
      <c r="M259" t="s">
        <v>53</v>
      </c>
      <c r="N259" s="3">
        <f>IF(BanHang[[#This Row],[Trạng thái]]="Huỷ cọc",0,BanHang[[#This Row],[Giá trị hợp đồng (trđ)]]*(1-BanHang[[#This Row],[Chiết khấu (%)]]))</f>
        <v>4371.6735999999992</v>
      </c>
    </row>
    <row r="260" spans="1:14" x14ac:dyDescent="0.3">
      <c r="A260" t="s">
        <v>309</v>
      </c>
      <c r="B260" s="1">
        <v>46180.395833333336</v>
      </c>
      <c r="C260" t="str">
        <f>"Tháng "&amp;MONTH(BanHang[[#This Row],[Ngày giờ bán]])</f>
        <v>Tháng 6</v>
      </c>
      <c r="D260" t="s">
        <v>478</v>
      </c>
      <c r="E260" t="s">
        <v>384</v>
      </c>
      <c r="F260" t="s">
        <v>107</v>
      </c>
      <c r="G260" t="s">
        <v>51</v>
      </c>
      <c r="H260" t="s">
        <v>26</v>
      </c>
      <c r="I260" s="2">
        <v>65.2</v>
      </c>
      <c r="J260" s="2">
        <v>57.1</v>
      </c>
      <c r="K260" s="3">
        <f>BanHang[[#This Row],[Diện tích (m²)]]*BanHang[[#This Row],[Đơn giá (trđ/m²)]]</f>
        <v>3722.92</v>
      </c>
      <c r="L260" s="4">
        <v>0</v>
      </c>
      <c r="M260" t="s">
        <v>53</v>
      </c>
      <c r="N260" s="3">
        <f>IF(BanHang[[#This Row],[Trạng thái]]="Huỷ cọc",0,BanHang[[#This Row],[Giá trị hợp đồng (trđ)]]*(1-BanHang[[#This Row],[Chiết khấu (%)]]))</f>
        <v>3722.92</v>
      </c>
    </row>
    <row r="261" spans="1:14" x14ac:dyDescent="0.3">
      <c r="A261" t="s">
        <v>310</v>
      </c>
      <c r="B261" s="1">
        <v>46180.770833333336</v>
      </c>
      <c r="C261" t="str">
        <f>"Tháng "&amp;MONTH(BanHang[[#This Row],[Ngày giờ bán]])</f>
        <v>Tháng 6</v>
      </c>
      <c r="D261" t="s">
        <v>111</v>
      </c>
      <c r="E261" t="s">
        <v>50</v>
      </c>
      <c r="F261" t="s">
        <v>24</v>
      </c>
      <c r="G261" t="s">
        <v>108</v>
      </c>
      <c r="H261" t="s">
        <v>157</v>
      </c>
      <c r="I261" s="2">
        <v>89.7</v>
      </c>
      <c r="J261" s="2">
        <v>42.5</v>
      </c>
      <c r="K261" s="3">
        <f>BanHang[[#This Row],[Diện tích (m²)]]*BanHang[[#This Row],[Đơn giá (trđ/m²)]]</f>
        <v>3812.25</v>
      </c>
      <c r="L261" s="4">
        <v>0.03</v>
      </c>
      <c r="M261" t="s">
        <v>53</v>
      </c>
      <c r="N261" s="3">
        <f>IF(BanHang[[#This Row],[Trạng thái]]="Huỷ cọc",0,BanHang[[#This Row],[Giá trị hợp đồng (trđ)]]*(1-BanHang[[#This Row],[Chiết khấu (%)]]))</f>
        <v>3697.8824999999997</v>
      </c>
    </row>
    <row r="262" spans="1:14" x14ac:dyDescent="0.3">
      <c r="A262" t="s">
        <v>311</v>
      </c>
      <c r="B262" s="1">
        <v>46180.770833333336</v>
      </c>
      <c r="C262" t="str">
        <f>"Tháng "&amp;MONTH(BanHang[[#This Row],[Ngày giờ bán]])</f>
        <v>Tháng 6</v>
      </c>
      <c r="D262" t="s">
        <v>49</v>
      </c>
      <c r="E262" t="s">
        <v>50</v>
      </c>
      <c r="F262" t="s">
        <v>107</v>
      </c>
      <c r="G262" t="s">
        <v>108</v>
      </c>
      <c r="H262" t="s">
        <v>226</v>
      </c>
      <c r="I262" s="2">
        <v>71.599999999999994</v>
      </c>
      <c r="J262" s="2">
        <v>58.1</v>
      </c>
      <c r="K262" s="3">
        <f>BanHang[[#This Row],[Diện tích (m²)]]*BanHang[[#This Row],[Đơn giá (trđ/m²)]]</f>
        <v>4159.96</v>
      </c>
      <c r="L262" s="4">
        <v>0.08</v>
      </c>
      <c r="M262" t="s">
        <v>27</v>
      </c>
      <c r="N262" s="3">
        <f>IF(BanHang[[#This Row],[Trạng thái]]="Huỷ cọc",0,BanHang[[#This Row],[Giá trị hợp đồng (trđ)]]*(1-BanHang[[#This Row],[Chiết khấu (%)]]))</f>
        <v>3827.1632000000004</v>
      </c>
    </row>
    <row r="263" spans="1:14" x14ac:dyDescent="0.3">
      <c r="A263" t="s">
        <v>312</v>
      </c>
      <c r="B263" s="1">
        <v>46181.333333333336</v>
      </c>
      <c r="C263" t="str">
        <f>"Tháng "&amp;MONTH(BanHang[[#This Row],[Ngày giờ bán]])</f>
        <v>Tháng 6</v>
      </c>
      <c r="D263" t="s">
        <v>111</v>
      </c>
      <c r="E263" t="s">
        <v>50</v>
      </c>
      <c r="F263" t="s">
        <v>77</v>
      </c>
      <c r="G263" t="s">
        <v>108</v>
      </c>
      <c r="H263" t="s">
        <v>134</v>
      </c>
      <c r="I263" s="2">
        <v>69.099999999999994</v>
      </c>
      <c r="J263" s="2">
        <v>58</v>
      </c>
      <c r="K263" s="3">
        <f>BanHang[[#This Row],[Diện tích (m²)]]*BanHang[[#This Row],[Đơn giá (trđ/m²)]]</f>
        <v>4007.7999999999997</v>
      </c>
      <c r="L263" s="4">
        <v>0.08</v>
      </c>
      <c r="M263" t="s">
        <v>53</v>
      </c>
      <c r="N263" s="3">
        <f>IF(BanHang[[#This Row],[Trạng thái]]="Huỷ cọc",0,BanHang[[#This Row],[Giá trị hợp đồng (trđ)]]*(1-BanHang[[#This Row],[Chiết khấu (%)]]))</f>
        <v>3687.1759999999999</v>
      </c>
    </row>
    <row r="264" spans="1:14" x14ac:dyDescent="0.3">
      <c r="A264" t="s">
        <v>313</v>
      </c>
      <c r="B264" s="1">
        <v>46181.666666666664</v>
      </c>
      <c r="C264" t="str">
        <f>"Tháng "&amp;MONTH(BanHang[[#This Row],[Ngày giờ bán]])</f>
        <v>Tháng 6</v>
      </c>
      <c r="D264" t="s">
        <v>408</v>
      </c>
      <c r="E264" t="s">
        <v>180</v>
      </c>
      <c r="F264" t="s">
        <v>24</v>
      </c>
      <c r="G264" t="s">
        <v>18</v>
      </c>
      <c r="H264" t="s">
        <v>26</v>
      </c>
      <c r="I264" s="2">
        <v>178.1</v>
      </c>
      <c r="J264" s="2">
        <v>44</v>
      </c>
      <c r="K264" s="3">
        <f>BanHang[[#This Row],[Diện tích (m²)]]*BanHang[[#This Row],[Đơn giá (trđ/m²)]]</f>
        <v>7836.4</v>
      </c>
      <c r="L264" s="4">
        <v>0.03</v>
      </c>
      <c r="M264" t="s">
        <v>53</v>
      </c>
      <c r="N264" s="3">
        <f>IF(BanHang[[#This Row],[Trạng thái]]="Huỷ cọc",0,BanHang[[#This Row],[Giá trị hợp đồng (trđ)]]*(1-BanHang[[#This Row],[Chiết khấu (%)]]))</f>
        <v>7601.3079999999991</v>
      </c>
    </row>
    <row r="265" spans="1:14" x14ac:dyDescent="0.3">
      <c r="A265" t="s">
        <v>314</v>
      </c>
      <c r="B265" s="1">
        <v>46181.739583333336</v>
      </c>
      <c r="C265" t="str">
        <f>"Tháng "&amp;MONTH(BanHang[[#This Row],[Ngày giờ bán]])</f>
        <v>Tháng 6</v>
      </c>
      <c r="D265" t="s">
        <v>408</v>
      </c>
      <c r="E265" t="s">
        <v>180</v>
      </c>
      <c r="F265" t="s">
        <v>24</v>
      </c>
      <c r="G265" t="s">
        <v>18</v>
      </c>
      <c r="H265" t="s">
        <v>157</v>
      </c>
      <c r="I265" s="2">
        <v>80.900000000000006</v>
      </c>
      <c r="J265" s="2">
        <v>56</v>
      </c>
      <c r="K265" s="3">
        <f>BanHang[[#This Row],[Diện tích (m²)]]*BanHang[[#This Row],[Đơn giá (trđ/m²)]]</f>
        <v>4530.4000000000005</v>
      </c>
      <c r="L265" s="4">
        <v>0.03</v>
      </c>
      <c r="M265" t="s">
        <v>53</v>
      </c>
      <c r="N265" s="3">
        <f>IF(BanHang[[#This Row],[Trạng thái]]="Huỷ cọc",0,BanHang[[#This Row],[Giá trị hợp đồng (trđ)]]*(1-BanHang[[#This Row],[Chiết khấu (%)]]))</f>
        <v>4394.4880000000003</v>
      </c>
    </row>
    <row r="266" spans="1:14" x14ac:dyDescent="0.3">
      <c r="A266" t="s">
        <v>315</v>
      </c>
      <c r="B266" s="1">
        <v>46181.75</v>
      </c>
      <c r="C266" t="str">
        <f>"Tháng "&amp;MONTH(BanHang[[#This Row],[Ngày giờ bán]])</f>
        <v>Tháng 6</v>
      </c>
      <c r="D266" t="s">
        <v>249</v>
      </c>
      <c r="E266" t="s">
        <v>16</v>
      </c>
      <c r="F266" t="s">
        <v>156</v>
      </c>
      <c r="G266" t="s">
        <v>78</v>
      </c>
      <c r="H266" t="s">
        <v>134</v>
      </c>
      <c r="I266" s="2">
        <v>230.2</v>
      </c>
      <c r="J266" s="2">
        <v>128.5</v>
      </c>
      <c r="K266" s="3">
        <f>BanHang[[#This Row],[Diện tích (m²)]]*BanHang[[#This Row],[Đơn giá (trđ/m²)]]</f>
        <v>29580.699999999997</v>
      </c>
      <c r="L266" s="4">
        <v>0.01</v>
      </c>
      <c r="M266" t="s">
        <v>53</v>
      </c>
      <c r="N266" s="3">
        <f>IF(BanHang[[#This Row],[Trạng thái]]="Huỷ cọc",0,BanHang[[#This Row],[Giá trị hợp đồng (trđ)]]*(1-BanHang[[#This Row],[Chiết khấu (%)]]))</f>
        <v>29284.892999999996</v>
      </c>
    </row>
    <row r="267" spans="1:14" x14ac:dyDescent="0.3">
      <c r="A267" t="s">
        <v>316</v>
      </c>
      <c r="B267" s="1">
        <v>46182.395833333336</v>
      </c>
      <c r="C267" t="str">
        <f>"Tháng "&amp;MONTH(BanHang[[#This Row],[Ngày giờ bán]])</f>
        <v>Tháng 6</v>
      </c>
      <c r="D267" t="s">
        <v>179</v>
      </c>
      <c r="E267" t="s">
        <v>180</v>
      </c>
      <c r="F267" t="s">
        <v>17</v>
      </c>
      <c r="G267" t="s">
        <v>51</v>
      </c>
      <c r="H267" t="s">
        <v>109</v>
      </c>
      <c r="I267" s="2">
        <v>144.30000000000001</v>
      </c>
      <c r="J267" s="2">
        <v>50.1</v>
      </c>
      <c r="K267" s="3">
        <f>BanHang[[#This Row],[Diện tích (m²)]]*BanHang[[#This Row],[Đơn giá (trđ/m²)]]</f>
        <v>7229.4300000000012</v>
      </c>
      <c r="L267" s="4">
        <v>0.03</v>
      </c>
      <c r="M267" t="s">
        <v>27</v>
      </c>
      <c r="N267" s="3">
        <f>IF(BanHang[[#This Row],[Trạng thái]]="Huỷ cọc",0,BanHang[[#This Row],[Giá trị hợp đồng (trđ)]]*(1-BanHang[[#This Row],[Chiết khấu (%)]]))</f>
        <v>7012.5471000000007</v>
      </c>
    </row>
    <row r="268" spans="1:14" x14ac:dyDescent="0.3">
      <c r="A268" t="s">
        <v>317</v>
      </c>
      <c r="B268" s="1">
        <v>46183.395833333336</v>
      </c>
      <c r="C268" t="str">
        <f>"Tháng "&amp;MONTH(BanHang[[#This Row],[Ngày giờ bán]])</f>
        <v>Tháng 6</v>
      </c>
      <c r="D268" t="s">
        <v>383</v>
      </c>
      <c r="E268" t="s">
        <v>384</v>
      </c>
      <c r="F268" t="s">
        <v>17</v>
      </c>
      <c r="G268" t="s">
        <v>51</v>
      </c>
      <c r="H268" t="s">
        <v>134</v>
      </c>
      <c r="I268" s="2">
        <v>70.400000000000006</v>
      </c>
      <c r="J268" s="2">
        <v>71.8</v>
      </c>
      <c r="K268" s="3">
        <f>BanHang[[#This Row],[Diện tích (m²)]]*BanHang[[#This Row],[Đơn giá (trđ/m²)]]</f>
        <v>5054.72</v>
      </c>
      <c r="L268" s="4">
        <v>0.03</v>
      </c>
      <c r="M268" t="s">
        <v>27</v>
      </c>
      <c r="N268" s="3">
        <f>IF(BanHang[[#This Row],[Trạng thái]]="Huỷ cọc",0,BanHang[[#This Row],[Giá trị hợp đồng (trđ)]]*(1-BanHang[[#This Row],[Chiết khấu (%)]]))</f>
        <v>4903.0784000000003</v>
      </c>
    </row>
    <row r="269" spans="1:14" x14ac:dyDescent="0.3">
      <c r="A269" t="s">
        <v>318</v>
      </c>
      <c r="B269" s="1">
        <v>46183.4375</v>
      </c>
      <c r="C269" t="str">
        <f>"Tháng "&amp;MONTH(BanHang[[#This Row],[Ngày giờ bán]])</f>
        <v>Tháng 6</v>
      </c>
      <c r="D269" t="s">
        <v>22</v>
      </c>
      <c r="E269" t="s">
        <v>23</v>
      </c>
      <c r="F269" t="s">
        <v>77</v>
      </c>
      <c r="G269" t="s">
        <v>51</v>
      </c>
      <c r="H269" t="s">
        <v>406</v>
      </c>
      <c r="I269" s="2">
        <v>132.4</v>
      </c>
      <c r="J269" s="2">
        <v>118.6</v>
      </c>
      <c r="K269" s="3">
        <f>BanHang[[#This Row],[Diện tích (m²)]]*BanHang[[#This Row],[Đơn giá (trđ/m²)]]</f>
        <v>15702.64</v>
      </c>
      <c r="L269" s="4">
        <v>0.01</v>
      </c>
      <c r="M269" t="s">
        <v>53</v>
      </c>
      <c r="N269" s="3">
        <f>IF(BanHang[[#This Row],[Trạng thái]]="Huỷ cọc",0,BanHang[[#This Row],[Giá trị hợp đồng (trđ)]]*(1-BanHang[[#This Row],[Chiết khấu (%)]]))</f>
        <v>15545.613599999999</v>
      </c>
    </row>
    <row r="270" spans="1:14" x14ac:dyDescent="0.3">
      <c r="A270" t="s">
        <v>319</v>
      </c>
      <c r="B270" s="1">
        <v>46184.395833333336</v>
      </c>
      <c r="C270" t="str">
        <f>"Tháng "&amp;MONTH(BanHang[[#This Row],[Ngày giờ bán]])</f>
        <v>Tháng 6</v>
      </c>
      <c r="D270" t="s">
        <v>22</v>
      </c>
      <c r="E270" t="s">
        <v>23</v>
      </c>
      <c r="F270" t="s">
        <v>107</v>
      </c>
      <c r="G270" t="s">
        <v>108</v>
      </c>
      <c r="H270" t="s">
        <v>406</v>
      </c>
      <c r="I270" s="2">
        <v>116.2</v>
      </c>
      <c r="J270" s="2">
        <v>126.4</v>
      </c>
      <c r="K270" s="3">
        <f>BanHang[[#This Row],[Diện tích (m²)]]*BanHang[[#This Row],[Đơn giá (trđ/m²)]]</f>
        <v>14687.68</v>
      </c>
      <c r="L270" s="4">
        <v>0</v>
      </c>
      <c r="M270" t="s">
        <v>53</v>
      </c>
      <c r="N270" s="3">
        <f>IF(BanHang[[#This Row],[Trạng thái]]="Huỷ cọc",0,BanHang[[#This Row],[Giá trị hợp đồng (trđ)]]*(1-BanHang[[#This Row],[Chiết khấu (%)]]))</f>
        <v>14687.68</v>
      </c>
    </row>
    <row r="271" spans="1:14" x14ac:dyDescent="0.3">
      <c r="A271" t="s">
        <v>320</v>
      </c>
      <c r="B271" s="1">
        <v>46184.520833333336</v>
      </c>
      <c r="C271" t="str">
        <f>"Tháng "&amp;MONTH(BanHang[[#This Row],[Ngày giờ bán]])</f>
        <v>Tháng 6</v>
      </c>
      <c r="D271" t="s">
        <v>408</v>
      </c>
      <c r="E271" t="s">
        <v>180</v>
      </c>
      <c r="F271" t="s">
        <v>156</v>
      </c>
      <c r="G271" t="s">
        <v>18</v>
      </c>
      <c r="H271" t="s">
        <v>79</v>
      </c>
      <c r="I271" s="2">
        <v>212.7</v>
      </c>
      <c r="J271" s="2">
        <v>34.700000000000003</v>
      </c>
      <c r="K271" s="3">
        <f>BanHang[[#This Row],[Diện tích (m²)]]*BanHang[[#This Row],[Đơn giá (trđ/m²)]]</f>
        <v>7380.6900000000005</v>
      </c>
      <c r="L271" s="4">
        <v>0.08</v>
      </c>
      <c r="M271" t="s">
        <v>53</v>
      </c>
      <c r="N271" s="3">
        <f>IF(BanHang[[#This Row],[Trạng thái]]="Huỷ cọc",0,BanHang[[#This Row],[Giá trị hợp đồng (trđ)]]*(1-BanHang[[#This Row],[Chiết khấu (%)]]))</f>
        <v>6790.2348000000011</v>
      </c>
    </row>
    <row r="272" spans="1:14" x14ac:dyDescent="0.3">
      <c r="A272" t="s">
        <v>321</v>
      </c>
      <c r="B272" s="1">
        <v>46184.552083333328</v>
      </c>
      <c r="C272" t="str">
        <f>"Tháng "&amp;MONTH(BanHang[[#This Row],[Ngày giờ bán]])</f>
        <v>Tháng 6</v>
      </c>
      <c r="D272" t="s">
        <v>49</v>
      </c>
      <c r="E272" t="s">
        <v>50</v>
      </c>
      <c r="F272" t="s">
        <v>17</v>
      </c>
      <c r="G272" t="s">
        <v>25</v>
      </c>
      <c r="H272" t="s">
        <v>79</v>
      </c>
      <c r="I272" s="2">
        <v>93.6</v>
      </c>
      <c r="J272" s="2">
        <v>69.5</v>
      </c>
      <c r="K272" s="3">
        <f>BanHang[[#This Row],[Diện tích (m²)]]*BanHang[[#This Row],[Đơn giá (trđ/m²)]]</f>
        <v>6505.2</v>
      </c>
      <c r="L272" s="4">
        <v>0.01</v>
      </c>
      <c r="M272" t="s">
        <v>53</v>
      </c>
      <c r="N272" s="3">
        <f>IF(BanHang[[#This Row],[Trạng thái]]="Huỷ cọc",0,BanHang[[#This Row],[Giá trị hợp đồng (trđ)]]*(1-BanHang[[#This Row],[Chiết khấu (%)]]))</f>
        <v>6440.1480000000001</v>
      </c>
    </row>
    <row r="273" spans="1:14" x14ac:dyDescent="0.3">
      <c r="A273" t="s">
        <v>322</v>
      </c>
      <c r="B273" s="1">
        <v>46184.625</v>
      </c>
      <c r="C273" t="str">
        <f>"Tháng "&amp;MONTH(BanHang[[#This Row],[Ngày giờ bán]])</f>
        <v>Tháng 6</v>
      </c>
      <c r="D273" t="s">
        <v>179</v>
      </c>
      <c r="E273" t="s">
        <v>180</v>
      </c>
      <c r="F273" t="s">
        <v>17</v>
      </c>
      <c r="G273" t="s">
        <v>78</v>
      </c>
      <c r="H273" t="s">
        <v>226</v>
      </c>
      <c r="I273" s="2">
        <v>199</v>
      </c>
      <c r="J273" s="2">
        <v>55.8</v>
      </c>
      <c r="K273" s="3">
        <f>BanHang[[#This Row],[Diện tích (m²)]]*BanHang[[#This Row],[Đơn giá (trđ/m²)]]</f>
        <v>11104.199999999999</v>
      </c>
      <c r="L273" s="4">
        <v>0.03</v>
      </c>
      <c r="M273" t="s">
        <v>27</v>
      </c>
      <c r="N273" s="3">
        <f>IF(BanHang[[#This Row],[Trạng thái]]="Huỷ cọc",0,BanHang[[#This Row],[Giá trị hợp đồng (trđ)]]*(1-BanHang[[#This Row],[Chiết khấu (%)]]))</f>
        <v>10771.073999999999</v>
      </c>
    </row>
    <row r="274" spans="1:14" x14ac:dyDescent="0.3">
      <c r="A274" t="s">
        <v>323</v>
      </c>
      <c r="B274" s="1">
        <v>46184.8125</v>
      </c>
      <c r="C274" t="str">
        <f>"Tháng "&amp;MONTH(BanHang[[#This Row],[Ngày giờ bán]])</f>
        <v>Tháng 6</v>
      </c>
      <c r="D274" t="s">
        <v>111</v>
      </c>
      <c r="E274" t="s">
        <v>50</v>
      </c>
      <c r="F274" t="s">
        <v>156</v>
      </c>
      <c r="G274" t="s">
        <v>25</v>
      </c>
      <c r="H274" t="s">
        <v>406</v>
      </c>
      <c r="I274" s="2">
        <v>75.3</v>
      </c>
      <c r="J274" s="2">
        <v>44</v>
      </c>
      <c r="K274" s="3">
        <f>BanHang[[#This Row],[Diện tích (m²)]]*BanHang[[#This Row],[Đơn giá (trđ/m²)]]</f>
        <v>3313.2</v>
      </c>
      <c r="L274" s="4">
        <v>0</v>
      </c>
      <c r="M274" t="s">
        <v>53</v>
      </c>
      <c r="N274" s="3">
        <f>IF(BanHang[[#This Row],[Trạng thái]]="Huỷ cọc",0,BanHang[[#This Row],[Giá trị hợp đồng (trđ)]]*(1-BanHang[[#This Row],[Chiết khấu (%)]]))</f>
        <v>3313.2</v>
      </c>
    </row>
    <row r="275" spans="1:14" x14ac:dyDescent="0.3">
      <c r="A275" t="s">
        <v>324</v>
      </c>
      <c r="B275" s="1">
        <v>46185.375</v>
      </c>
      <c r="C275" t="str">
        <f>"Tháng "&amp;MONTH(BanHang[[#This Row],[Ngày giờ bán]])</f>
        <v>Tháng 6</v>
      </c>
      <c r="D275" t="s">
        <v>49</v>
      </c>
      <c r="E275" t="s">
        <v>50</v>
      </c>
      <c r="F275" t="s">
        <v>17</v>
      </c>
      <c r="G275" t="s">
        <v>78</v>
      </c>
      <c r="H275" t="s">
        <v>26</v>
      </c>
      <c r="I275" s="2">
        <v>90.6</v>
      </c>
      <c r="J275" s="2">
        <v>73.7</v>
      </c>
      <c r="K275" s="3">
        <f>BanHang[[#This Row],[Diện tích (m²)]]*BanHang[[#This Row],[Đơn giá (trđ/m²)]]</f>
        <v>6677.22</v>
      </c>
      <c r="L275" s="4">
        <v>0</v>
      </c>
      <c r="M275" t="s">
        <v>27</v>
      </c>
      <c r="N275" s="3">
        <f>IF(BanHang[[#This Row],[Trạng thái]]="Huỷ cọc",0,BanHang[[#This Row],[Giá trị hợp đồng (trđ)]]*(1-BanHang[[#This Row],[Chiết khấu (%)]]))</f>
        <v>6677.22</v>
      </c>
    </row>
    <row r="276" spans="1:14" x14ac:dyDescent="0.3">
      <c r="A276" t="s">
        <v>325</v>
      </c>
      <c r="B276" s="1">
        <v>46185.427083333328</v>
      </c>
      <c r="C276" t="str">
        <f>"Tháng "&amp;MONTH(BanHang[[#This Row],[Ngày giờ bán]])</f>
        <v>Tháng 6</v>
      </c>
      <c r="D276" t="s">
        <v>478</v>
      </c>
      <c r="E276" t="s">
        <v>384</v>
      </c>
      <c r="F276" t="s">
        <v>24</v>
      </c>
      <c r="G276" t="s">
        <v>108</v>
      </c>
      <c r="H276" t="s">
        <v>19</v>
      </c>
      <c r="I276" s="2">
        <v>56.8</v>
      </c>
      <c r="J276" s="2">
        <v>48.9</v>
      </c>
      <c r="K276" s="3">
        <f>BanHang[[#This Row],[Diện tích (m²)]]*BanHang[[#This Row],[Đơn giá (trđ/m²)]]</f>
        <v>2777.52</v>
      </c>
      <c r="L276" s="4">
        <v>0.02</v>
      </c>
      <c r="M276" t="s">
        <v>53</v>
      </c>
      <c r="N276" s="3">
        <f>IF(BanHang[[#This Row],[Trạng thái]]="Huỷ cọc",0,BanHang[[#This Row],[Giá trị hợp đồng (trđ)]]*(1-BanHang[[#This Row],[Chiết khấu (%)]]))</f>
        <v>2721.9695999999999</v>
      </c>
    </row>
    <row r="277" spans="1:14" x14ac:dyDescent="0.3">
      <c r="A277" t="s">
        <v>326</v>
      </c>
      <c r="B277" s="1">
        <v>46185.59375</v>
      </c>
      <c r="C277" t="str">
        <f>"Tháng "&amp;MONTH(BanHang[[#This Row],[Ngày giờ bán]])</f>
        <v>Tháng 6</v>
      </c>
      <c r="D277" t="s">
        <v>76</v>
      </c>
      <c r="E277" t="s">
        <v>50</v>
      </c>
      <c r="F277" t="s">
        <v>107</v>
      </c>
      <c r="G277" t="s">
        <v>51</v>
      </c>
      <c r="H277" t="s">
        <v>109</v>
      </c>
      <c r="I277" s="2">
        <v>63.1</v>
      </c>
      <c r="J277" s="2">
        <v>67.099999999999994</v>
      </c>
      <c r="K277" s="3">
        <f>BanHang[[#This Row],[Diện tích (m²)]]*BanHang[[#This Row],[Đơn giá (trđ/m²)]]</f>
        <v>4234.0099999999993</v>
      </c>
      <c r="L277" s="4">
        <v>7.0000000000000007E-2</v>
      </c>
      <c r="M277" t="s">
        <v>53</v>
      </c>
      <c r="N277" s="3">
        <f>IF(BanHang[[#This Row],[Trạng thái]]="Huỷ cọc",0,BanHang[[#This Row],[Giá trị hợp đồng (trđ)]]*(1-BanHang[[#This Row],[Chiết khấu (%)]]))</f>
        <v>3937.6292999999991</v>
      </c>
    </row>
    <row r="278" spans="1:14" x14ac:dyDescent="0.3">
      <c r="A278" t="s">
        <v>327</v>
      </c>
      <c r="B278" s="1">
        <v>46186.447916666664</v>
      </c>
      <c r="C278" t="str">
        <f>"Tháng "&amp;MONTH(BanHang[[#This Row],[Ngày giờ bán]])</f>
        <v>Tháng 6</v>
      </c>
      <c r="D278" t="s">
        <v>477</v>
      </c>
      <c r="E278" t="s">
        <v>106</v>
      </c>
      <c r="F278" t="s">
        <v>17</v>
      </c>
      <c r="G278" t="s">
        <v>108</v>
      </c>
      <c r="H278" t="s">
        <v>109</v>
      </c>
      <c r="I278" s="2">
        <v>127.2</v>
      </c>
      <c r="J278" s="2">
        <v>152.30000000000001</v>
      </c>
      <c r="K278" s="3">
        <f>BanHang[[#This Row],[Diện tích (m²)]]*BanHang[[#This Row],[Đơn giá (trđ/m²)]]</f>
        <v>19372.560000000001</v>
      </c>
      <c r="L278" s="4">
        <v>0.03</v>
      </c>
      <c r="M278" t="s">
        <v>20</v>
      </c>
      <c r="N278" s="3">
        <f>IF(BanHang[[#This Row],[Trạng thái]]="Huỷ cọc",0,BanHang[[#This Row],[Giá trị hợp đồng (trđ)]]*(1-BanHang[[#This Row],[Chiết khấu (%)]]))</f>
        <v>0</v>
      </c>
    </row>
    <row r="279" spans="1:14" x14ac:dyDescent="0.3">
      <c r="A279" t="s">
        <v>328</v>
      </c>
      <c r="B279" s="1">
        <v>46186.697916666664</v>
      </c>
      <c r="C279" t="str">
        <f>"Tháng "&amp;MONTH(BanHang[[#This Row],[Ngày giờ bán]])</f>
        <v>Tháng 6</v>
      </c>
      <c r="D279" t="s">
        <v>105</v>
      </c>
      <c r="E279" t="s">
        <v>23</v>
      </c>
      <c r="F279" t="s">
        <v>156</v>
      </c>
      <c r="G279" t="s">
        <v>51</v>
      </c>
      <c r="H279" t="s">
        <v>19</v>
      </c>
      <c r="I279" s="2">
        <v>144.80000000000001</v>
      </c>
      <c r="J279" s="2">
        <v>106.8</v>
      </c>
      <c r="K279" s="3">
        <f>BanHang[[#This Row],[Diện tích (m²)]]*BanHang[[#This Row],[Đơn giá (trđ/m²)]]</f>
        <v>15464.640000000001</v>
      </c>
      <c r="L279" s="4">
        <v>7.0000000000000007E-2</v>
      </c>
      <c r="M279" t="s">
        <v>53</v>
      </c>
      <c r="N279" s="3">
        <f>IF(BanHang[[#This Row],[Trạng thái]]="Huỷ cọc",0,BanHang[[#This Row],[Giá trị hợp đồng (trđ)]]*(1-BanHang[[#This Row],[Chiết khấu (%)]]))</f>
        <v>14382.1152</v>
      </c>
    </row>
    <row r="280" spans="1:14" x14ac:dyDescent="0.3">
      <c r="A280" t="s">
        <v>329</v>
      </c>
      <c r="B280" s="1">
        <v>46187.395833333336</v>
      </c>
      <c r="C280" t="str">
        <f>"Tháng "&amp;MONTH(BanHang[[#This Row],[Ngày giờ bán]])</f>
        <v>Tháng 6</v>
      </c>
      <c r="D280" t="s">
        <v>408</v>
      </c>
      <c r="E280" t="s">
        <v>180</v>
      </c>
      <c r="F280" t="s">
        <v>103</v>
      </c>
      <c r="G280" t="s">
        <v>51</v>
      </c>
      <c r="H280" t="s">
        <v>226</v>
      </c>
      <c r="I280" s="2">
        <v>163.6</v>
      </c>
      <c r="J280" s="2">
        <v>25.8</v>
      </c>
      <c r="K280" s="3">
        <f>BanHang[[#This Row],[Diện tích (m²)]]*BanHang[[#This Row],[Đơn giá (trđ/m²)]]</f>
        <v>4220.88</v>
      </c>
      <c r="L280" s="4">
        <v>0</v>
      </c>
      <c r="M280" t="s">
        <v>53</v>
      </c>
      <c r="N280" s="3">
        <f>IF(BanHang[[#This Row],[Trạng thái]]="Huỷ cọc",0,BanHang[[#This Row],[Giá trị hợp đồng (trđ)]]*(1-BanHang[[#This Row],[Chiết khấu (%)]]))</f>
        <v>4220.88</v>
      </c>
    </row>
    <row r="281" spans="1:14" x14ac:dyDescent="0.3">
      <c r="A281" t="s">
        <v>330</v>
      </c>
      <c r="B281" s="1">
        <v>46187.416666666664</v>
      </c>
      <c r="C281" t="str">
        <f>"Tháng "&amp;MONTH(BanHang[[#This Row],[Ngày giờ bán]])</f>
        <v>Tháng 6</v>
      </c>
      <c r="D281" t="s">
        <v>225</v>
      </c>
      <c r="E281" t="s">
        <v>180</v>
      </c>
      <c r="F281" t="s">
        <v>107</v>
      </c>
      <c r="G281" t="s">
        <v>51</v>
      </c>
      <c r="H281" t="s">
        <v>26</v>
      </c>
      <c r="I281" s="2">
        <v>96</v>
      </c>
      <c r="J281" s="2">
        <v>56</v>
      </c>
      <c r="K281" s="3">
        <f>BanHang[[#This Row],[Diện tích (m²)]]*BanHang[[#This Row],[Đơn giá (trđ/m²)]]</f>
        <v>5376</v>
      </c>
      <c r="L281" s="4">
        <v>0.05</v>
      </c>
      <c r="M281" t="s">
        <v>53</v>
      </c>
      <c r="N281" s="3">
        <f>IF(BanHang[[#This Row],[Trạng thái]]="Huỷ cọc",0,BanHang[[#This Row],[Giá trị hợp đồng (trđ)]]*(1-BanHang[[#This Row],[Chiết khấu (%)]]))</f>
        <v>5107.2</v>
      </c>
    </row>
    <row r="282" spans="1:14" x14ac:dyDescent="0.3">
      <c r="A282" t="s">
        <v>331</v>
      </c>
      <c r="B282" s="1">
        <v>46187.739583333336</v>
      </c>
      <c r="C282" t="str">
        <f>"Tháng "&amp;MONTH(BanHang[[#This Row],[Ngày giờ bán]])</f>
        <v>Tháng 6</v>
      </c>
      <c r="D282" t="s">
        <v>179</v>
      </c>
      <c r="E282" t="s">
        <v>180</v>
      </c>
      <c r="F282" t="s">
        <v>17</v>
      </c>
      <c r="G282" t="s">
        <v>51</v>
      </c>
      <c r="H282" t="s">
        <v>476</v>
      </c>
      <c r="I282" s="2">
        <v>126.8</v>
      </c>
      <c r="J282" s="2">
        <v>54.1</v>
      </c>
      <c r="K282" s="3">
        <f>BanHang[[#This Row],[Diện tích (m²)]]*BanHang[[#This Row],[Đơn giá (trđ/m²)]]</f>
        <v>6859.88</v>
      </c>
      <c r="L282" s="4">
        <v>7.0000000000000007E-2</v>
      </c>
      <c r="M282" t="s">
        <v>53</v>
      </c>
      <c r="N282" s="3">
        <f>IF(BanHang[[#This Row],[Trạng thái]]="Huỷ cọc",0,BanHang[[#This Row],[Giá trị hợp đồng (trđ)]]*(1-BanHang[[#This Row],[Chiết khấu (%)]]))</f>
        <v>6379.6884</v>
      </c>
    </row>
    <row r="283" spans="1:14" x14ac:dyDescent="0.3">
      <c r="A283" t="s">
        <v>332</v>
      </c>
      <c r="B283" s="1">
        <v>46188.40625</v>
      </c>
      <c r="C283" t="str">
        <f>"Tháng "&amp;MONTH(BanHang[[#This Row],[Ngày giờ bán]])</f>
        <v>Tháng 6</v>
      </c>
      <c r="D283" t="s">
        <v>76</v>
      </c>
      <c r="E283" t="s">
        <v>50</v>
      </c>
      <c r="F283" t="s">
        <v>24</v>
      </c>
      <c r="G283" t="s">
        <v>78</v>
      </c>
      <c r="H283" t="s">
        <v>79</v>
      </c>
      <c r="I283" s="2">
        <v>77.599999999999994</v>
      </c>
      <c r="J283" s="2">
        <v>51.7</v>
      </c>
      <c r="K283" s="3">
        <f>BanHang[[#This Row],[Diện tích (m²)]]*BanHang[[#This Row],[Đơn giá (trđ/m²)]]</f>
        <v>4011.92</v>
      </c>
      <c r="L283" s="4">
        <v>7.0000000000000007E-2</v>
      </c>
      <c r="M283" t="s">
        <v>53</v>
      </c>
      <c r="N283" s="3">
        <f>IF(BanHang[[#This Row],[Trạng thái]]="Huỷ cọc",0,BanHang[[#This Row],[Giá trị hợp đồng (trđ)]]*(1-BanHang[[#This Row],[Chiết khấu (%)]]))</f>
        <v>3731.0855999999999</v>
      </c>
    </row>
    <row r="284" spans="1:14" x14ac:dyDescent="0.3">
      <c r="A284" t="s">
        <v>333</v>
      </c>
      <c r="B284" s="1">
        <v>46188.4375</v>
      </c>
      <c r="C284" t="str">
        <f>"Tháng "&amp;MONTH(BanHang[[#This Row],[Ngày giờ bán]])</f>
        <v>Tháng 6</v>
      </c>
      <c r="D284" t="s">
        <v>477</v>
      </c>
      <c r="E284" t="s">
        <v>106</v>
      </c>
      <c r="F284" t="s">
        <v>156</v>
      </c>
      <c r="G284" t="s">
        <v>51</v>
      </c>
      <c r="H284" t="s">
        <v>19</v>
      </c>
      <c r="I284" s="2">
        <v>160.80000000000001</v>
      </c>
      <c r="J284" s="2">
        <v>119.9</v>
      </c>
      <c r="K284" s="3">
        <f>BanHang[[#This Row],[Diện tích (m²)]]*BanHang[[#This Row],[Đơn giá (trđ/m²)]]</f>
        <v>19279.920000000002</v>
      </c>
      <c r="L284" s="4">
        <v>0.03</v>
      </c>
      <c r="M284" t="s">
        <v>27</v>
      </c>
      <c r="N284" s="3">
        <f>IF(BanHang[[#This Row],[Trạng thái]]="Huỷ cọc",0,BanHang[[#This Row],[Giá trị hợp đồng (trđ)]]*(1-BanHang[[#This Row],[Chiết khấu (%)]]))</f>
        <v>18701.522400000002</v>
      </c>
    </row>
    <row r="285" spans="1:14" x14ac:dyDescent="0.3">
      <c r="A285" t="s">
        <v>334</v>
      </c>
      <c r="B285" s="1">
        <v>46188.5625</v>
      </c>
      <c r="C285" t="str">
        <f>"Tháng "&amp;MONTH(BanHang[[#This Row],[Ngày giờ bán]])</f>
        <v>Tháng 6</v>
      </c>
      <c r="D285" t="s">
        <v>76</v>
      </c>
      <c r="E285" t="s">
        <v>50</v>
      </c>
      <c r="F285" t="s">
        <v>24</v>
      </c>
      <c r="G285" t="s">
        <v>51</v>
      </c>
      <c r="H285" t="s">
        <v>19</v>
      </c>
      <c r="I285" s="2">
        <v>55.5</v>
      </c>
      <c r="J285" s="2">
        <v>69.7</v>
      </c>
      <c r="K285" s="3">
        <f>BanHang[[#This Row],[Diện tích (m²)]]*BanHang[[#This Row],[Đơn giá (trđ/m²)]]</f>
        <v>3868.3500000000004</v>
      </c>
      <c r="L285" s="4">
        <v>0</v>
      </c>
      <c r="M285" t="s">
        <v>27</v>
      </c>
      <c r="N285" s="3">
        <f>IF(BanHang[[#This Row],[Trạng thái]]="Huỷ cọc",0,BanHang[[#This Row],[Giá trị hợp đồng (trđ)]]*(1-BanHang[[#This Row],[Chiết khấu (%)]]))</f>
        <v>3868.3500000000004</v>
      </c>
    </row>
    <row r="286" spans="1:14" x14ac:dyDescent="0.3">
      <c r="A286" t="s">
        <v>335</v>
      </c>
      <c r="B286" s="1">
        <v>46188.802083333328</v>
      </c>
      <c r="C286" t="str">
        <f>"Tháng "&amp;MONTH(BanHang[[#This Row],[Ngày giờ bán]])</f>
        <v>Tháng 6</v>
      </c>
      <c r="D286" t="s">
        <v>249</v>
      </c>
      <c r="E286" t="s">
        <v>16</v>
      </c>
      <c r="F286" t="s">
        <v>24</v>
      </c>
      <c r="G286" t="s">
        <v>108</v>
      </c>
      <c r="H286" t="s">
        <v>134</v>
      </c>
      <c r="I286" s="2">
        <v>275.60000000000002</v>
      </c>
      <c r="J286" s="2">
        <v>101.7</v>
      </c>
      <c r="K286" s="3">
        <f>BanHang[[#This Row],[Diện tích (m²)]]*BanHang[[#This Row],[Đơn giá (trđ/m²)]]</f>
        <v>28028.520000000004</v>
      </c>
      <c r="L286" s="4">
        <v>0.03</v>
      </c>
      <c r="M286" t="s">
        <v>53</v>
      </c>
      <c r="N286" s="3">
        <f>IF(BanHang[[#This Row],[Trạng thái]]="Huỷ cọc",0,BanHang[[#This Row],[Giá trị hợp đồng (trđ)]]*(1-BanHang[[#This Row],[Chiết khấu (%)]]))</f>
        <v>27187.664400000001</v>
      </c>
    </row>
    <row r="287" spans="1:14" x14ac:dyDescent="0.3">
      <c r="A287" t="s">
        <v>336</v>
      </c>
      <c r="B287" s="1">
        <v>46189.71875</v>
      </c>
      <c r="C287" t="str">
        <f>"Tháng "&amp;MONTH(BanHang[[#This Row],[Ngày giờ bán]])</f>
        <v>Tháng 6</v>
      </c>
      <c r="D287" t="s">
        <v>478</v>
      </c>
      <c r="E287" t="s">
        <v>384</v>
      </c>
      <c r="F287" t="s">
        <v>17</v>
      </c>
      <c r="G287" t="s">
        <v>51</v>
      </c>
      <c r="H287" t="s">
        <v>52</v>
      </c>
      <c r="I287" s="2">
        <v>52.5</v>
      </c>
      <c r="J287" s="2">
        <v>67.8</v>
      </c>
      <c r="K287" s="3">
        <f>BanHang[[#This Row],[Diện tích (m²)]]*BanHang[[#This Row],[Đơn giá (trđ/m²)]]</f>
        <v>3559.5</v>
      </c>
      <c r="L287" s="4">
        <v>0.03</v>
      </c>
      <c r="M287" t="s">
        <v>27</v>
      </c>
      <c r="N287" s="3">
        <f>IF(BanHang[[#This Row],[Trạng thái]]="Huỷ cọc",0,BanHang[[#This Row],[Giá trị hợp đồng (trđ)]]*(1-BanHang[[#This Row],[Chiết khấu (%)]]))</f>
        <v>3452.7149999999997</v>
      </c>
    </row>
    <row r="288" spans="1:14" x14ac:dyDescent="0.3">
      <c r="A288" t="s">
        <v>337</v>
      </c>
      <c r="B288" s="1">
        <v>46191.447916666664</v>
      </c>
      <c r="C288" t="str">
        <f>"Tháng "&amp;MONTH(BanHang[[#This Row],[Ngày giờ bán]])</f>
        <v>Tháng 6</v>
      </c>
      <c r="D288" t="s">
        <v>179</v>
      </c>
      <c r="E288" t="s">
        <v>180</v>
      </c>
      <c r="F288" t="s">
        <v>103</v>
      </c>
      <c r="G288" t="s">
        <v>25</v>
      </c>
      <c r="H288" t="s">
        <v>134</v>
      </c>
      <c r="I288" s="2">
        <v>92.1</v>
      </c>
      <c r="J288" s="2">
        <v>53.8</v>
      </c>
      <c r="K288" s="3">
        <f>BanHang[[#This Row],[Diện tích (m²)]]*BanHang[[#This Row],[Đơn giá (trđ/m²)]]</f>
        <v>4954.9799999999996</v>
      </c>
      <c r="L288" s="4">
        <v>0.08</v>
      </c>
      <c r="M288" t="s">
        <v>53</v>
      </c>
      <c r="N288" s="3">
        <f>IF(BanHang[[#This Row],[Trạng thái]]="Huỷ cọc",0,BanHang[[#This Row],[Giá trị hợp đồng (trđ)]]*(1-BanHang[[#This Row],[Chiết khấu (%)]]))</f>
        <v>4558.5815999999995</v>
      </c>
    </row>
    <row r="289" spans="1:14" x14ac:dyDescent="0.3">
      <c r="A289" t="s">
        <v>338</v>
      </c>
      <c r="B289" s="1">
        <v>46191.604166666672</v>
      </c>
      <c r="C289" t="str">
        <f>"Tháng "&amp;MONTH(BanHang[[#This Row],[Ngày giờ bán]])</f>
        <v>Tháng 6</v>
      </c>
      <c r="D289" t="s">
        <v>383</v>
      </c>
      <c r="E289" t="s">
        <v>384</v>
      </c>
      <c r="F289" t="s">
        <v>107</v>
      </c>
      <c r="G289" t="s">
        <v>51</v>
      </c>
      <c r="H289" t="s">
        <v>226</v>
      </c>
      <c r="I289" s="2">
        <v>52.1</v>
      </c>
      <c r="J289" s="2">
        <v>51.2</v>
      </c>
      <c r="K289" s="3">
        <f>BanHang[[#This Row],[Diện tích (m²)]]*BanHang[[#This Row],[Đơn giá (trđ/m²)]]</f>
        <v>2667.5200000000004</v>
      </c>
      <c r="L289" s="4">
        <v>0.05</v>
      </c>
      <c r="M289" t="s">
        <v>53</v>
      </c>
      <c r="N289" s="3">
        <f>IF(BanHang[[#This Row],[Trạng thái]]="Huỷ cọc",0,BanHang[[#This Row],[Giá trị hợp đồng (trđ)]]*(1-BanHang[[#This Row],[Chiết khấu (%)]]))</f>
        <v>2534.1440000000002</v>
      </c>
    </row>
    <row r="290" spans="1:14" x14ac:dyDescent="0.3">
      <c r="A290" t="s">
        <v>339</v>
      </c>
      <c r="B290" s="1">
        <v>46192.333333333336</v>
      </c>
      <c r="C290" t="str">
        <f>"Tháng "&amp;MONTH(BanHang[[#This Row],[Ngày giờ bán]])</f>
        <v>Tháng 6</v>
      </c>
      <c r="D290" t="s">
        <v>225</v>
      </c>
      <c r="E290" t="s">
        <v>180</v>
      </c>
      <c r="F290" t="s">
        <v>17</v>
      </c>
      <c r="G290" t="s">
        <v>108</v>
      </c>
      <c r="H290" t="s">
        <v>476</v>
      </c>
      <c r="I290" s="2">
        <v>194.5</v>
      </c>
      <c r="J290" s="2">
        <v>40.299999999999997</v>
      </c>
      <c r="K290" s="3">
        <f>BanHang[[#This Row],[Diện tích (m²)]]*BanHang[[#This Row],[Đơn giá (trđ/m²)]]</f>
        <v>7838.3499999999995</v>
      </c>
      <c r="L290" s="4">
        <v>0.01</v>
      </c>
      <c r="M290" t="s">
        <v>53</v>
      </c>
      <c r="N290" s="3">
        <f>IF(BanHang[[#This Row],[Trạng thái]]="Huỷ cọc",0,BanHang[[#This Row],[Giá trị hợp đồng (trđ)]]*(1-BanHang[[#This Row],[Chiết khấu (%)]]))</f>
        <v>7759.9664999999995</v>
      </c>
    </row>
    <row r="291" spans="1:14" x14ac:dyDescent="0.3">
      <c r="A291" t="s">
        <v>340</v>
      </c>
      <c r="B291" s="1">
        <v>46192.364583333336</v>
      </c>
      <c r="C291" t="str">
        <f>"Tháng "&amp;MONTH(BanHang[[#This Row],[Ngày giờ bán]])</f>
        <v>Tháng 6</v>
      </c>
      <c r="D291" t="s">
        <v>111</v>
      </c>
      <c r="E291" t="s">
        <v>50</v>
      </c>
      <c r="F291" t="s">
        <v>17</v>
      </c>
      <c r="G291" t="s">
        <v>18</v>
      </c>
      <c r="H291" t="s">
        <v>134</v>
      </c>
      <c r="I291" s="2">
        <v>83.8</v>
      </c>
      <c r="J291" s="2">
        <v>57.3</v>
      </c>
      <c r="K291" s="3">
        <f>BanHang[[#This Row],[Diện tích (m²)]]*BanHang[[#This Row],[Đơn giá (trđ/m²)]]</f>
        <v>4801.74</v>
      </c>
      <c r="L291" s="4">
        <v>0</v>
      </c>
      <c r="M291" t="s">
        <v>53</v>
      </c>
      <c r="N291" s="3">
        <f>IF(BanHang[[#This Row],[Trạng thái]]="Huỷ cọc",0,BanHang[[#This Row],[Giá trị hợp đồng (trđ)]]*(1-BanHang[[#This Row],[Chiết khấu (%)]]))</f>
        <v>4801.74</v>
      </c>
    </row>
    <row r="292" spans="1:14" x14ac:dyDescent="0.3">
      <c r="A292" t="s">
        <v>341</v>
      </c>
      <c r="B292" s="1">
        <v>46192.59375</v>
      </c>
      <c r="C292" t="str">
        <f>"Tháng "&amp;MONTH(BanHang[[#This Row],[Ngày giờ bán]])</f>
        <v>Tháng 6</v>
      </c>
      <c r="D292" t="s">
        <v>225</v>
      </c>
      <c r="E292" t="s">
        <v>180</v>
      </c>
      <c r="F292" t="s">
        <v>17</v>
      </c>
      <c r="G292" t="s">
        <v>51</v>
      </c>
      <c r="H292" t="s">
        <v>406</v>
      </c>
      <c r="I292" s="2">
        <v>153.5</v>
      </c>
      <c r="J292" s="2">
        <v>23.2</v>
      </c>
      <c r="K292" s="3">
        <f>BanHang[[#This Row],[Diện tích (m²)]]*BanHang[[#This Row],[Đơn giá (trđ/m²)]]</f>
        <v>3561.2</v>
      </c>
      <c r="L292" s="4">
        <v>0</v>
      </c>
      <c r="M292" t="s">
        <v>53</v>
      </c>
      <c r="N292" s="3">
        <f>IF(BanHang[[#This Row],[Trạng thái]]="Huỷ cọc",0,BanHang[[#This Row],[Giá trị hợp đồng (trđ)]]*(1-BanHang[[#This Row],[Chiết khấu (%)]]))</f>
        <v>3561.2</v>
      </c>
    </row>
    <row r="293" spans="1:14" x14ac:dyDescent="0.3">
      <c r="A293" t="s">
        <v>342</v>
      </c>
      <c r="B293" s="1">
        <v>46192.708333333336</v>
      </c>
      <c r="C293" t="str">
        <f>"Tháng "&amp;MONTH(BanHang[[#This Row],[Ngày giờ bán]])</f>
        <v>Tháng 6</v>
      </c>
      <c r="D293" t="s">
        <v>225</v>
      </c>
      <c r="E293" t="s">
        <v>180</v>
      </c>
      <c r="F293" t="s">
        <v>17</v>
      </c>
      <c r="G293" t="s">
        <v>51</v>
      </c>
      <c r="H293" t="s">
        <v>109</v>
      </c>
      <c r="I293" s="2">
        <v>83.2</v>
      </c>
      <c r="J293" s="2">
        <v>55.3</v>
      </c>
      <c r="K293" s="3">
        <f>BanHang[[#This Row],[Diện tích (m²)]]*BanHang[[#This Row],[Đơn giá (trđ/m²)]]</f>
        <v>4600.96</v>
      </c>
      <c r="L293" s="4">
        <v>0.08</v>
      </c>
      <c r="M293" t="s">
        <v>53</v>
      </c>
      <c r="N293" s="3">
        <f>IF(BanHang[[#This Row],[Trạng thái]]="Huỷ cọc",0,BanHang[[#This Row],[Giá trị hợp đồng (trđ)]]*(1-BanHang[[#This Row],[Chiết khấu (%)]]))</f>
        <v>4232.8832000000002</v>
      </c>
    </row>
    <row r="294" spans="1:14" x14ac:dyDescent="0.3">
      <c r="A294" t="s">
        <v>343</v>
      </c>
      <c r="B294" s="1">
        <v>46193.760416666664</v>
      </c>
      <c r="C294" t="str">
        <f>"Tháng "&amp;MONTH(BanHang[[#This Row],[Ngày giờ bán]])</f>
        <v>Tháng 6</v>
      </c>
      <c r="D294" t="s">
        <v>22</v>
      </c>
      <c r="E294" t="s">
        <v>23</v>
      </c>
      <c r="F294" t="s">
        <v>24</v>
      </c>
      <c r="G294" t="s">
        <v>51</v>
      </c>
      <c r="H294" t="s">
        <v>226</v>
      </c>
      <c r="I294" s="2">
        <v>152.69999999999999</v>
      </c>
      <c r="J294" s="2">
        <v>131</v>
      </c>
      <c r="K294" s="3">
        <f>BanHang[[#This Row],[Diện tích (m²)]]*BanHang[[#This Row],[Đơn giá (trđ/m²)]]</f>
        <v>20003.699999999997</v>
      </c>
      <c r="L294" s="4">
        <v>0.02</v>
      </c>
      <c r="M294" t="s">
        <v>53</v>
      </c>
      <c r="N294" s="3">
        <f>IF(BanHang[[#This Row],[Trạng thái]]="Huỷ cọc",0,BanHang[[#This Row],[Giá trị hợp đồng (trđ)]]*(1-BanHang[[#This Row],[Chiết khấu (%)]]))</f>
        <v>19603.625999999997</v>
      </c>
    </row>
    <row r="295" spans="1:14" x14ac:dyDescent="0.3">
      <c r="A295" t="s">
        <v>344</v>
      </c>
      <c r="B295" s="1">
        <v>46195.447916666664</v>
      </c>
      <c r="C295" t="str">
        <f>"Tháng "&amp;MONTH(BanHang[[#This Row],[Ngày giờ bán]])</f>
        <v>Tháng 6</v>
      </c>
      <c r="D295" t="s">
        <v>22</v>
      </c>
      <c r="E295" t="s">
        <v>23</v>
      </c>
      <c r="F295" t="s">
        <v>77</v>
      </c>
      <c r="G295" t="s">
        <v>51</v>
      </c>
      <c r="H295" t="s">
        <v>79</v>
      </c>
      <c r="I295" s="2">
        <v>148</v>
      </c>
      <c r="J295" s="2">
        <v>139.69999999999999</v>
      </c>
      <c r="K295" s="3">
        <f>BanHang[[#This Row],[Diện tích (m²)]]*BanHang[[#This Row],[Đơn giá (trđ/m²)]]</f>
        <v>20675.599999999999</v>
      </c>
      <c r="L295" s="4">
        <v>0.03</v>
      </c>
      <c r="M295" t="s">
        <v>53</v>
      </c>
      <c r="N295" s="3">
        <f>IF(BanHang[[#This Row],[Trạng thái]]="Huỷ cọc",0,BanHang[[#This Row],[Giá trị hợp đồng (trđ)]]*(1-BanHang[[#This Row],[Chiết khấu (%)]]))</f>
        <v>20055.331999999999</v>
      </c>
    </row>
    <row r="296" spans="1:14" x14ac:dyDescent="0.3">
      <c r="A296" t="s">
        <v>345</v>
      </c>
      <c r="B296" s="1">
        <v>46195.65625</v>
      </c>
      <c r="C296" t="str">
        <f>"Tháng "&amp;MONTH(BanHang[[#This Row],[Ngày giờ bán]])</f>
        <v>Tháng 6</v>
      </c>
      <c r="D296" t="s">
        <v>101</v>
      </c>
      <c r="E296" t="s">
        <v>50</v>
      </c>
      <c r="F296" t="s">
        <v>156</v>
      </c>
      <c r="G296" t="s">
        <v>51</v>
      </c>
      <c r="H296" t="s">
        <v>109</v>
      </c>
      <c r="I296" s="2">
        <v>57.2</v>
      </c>
      <c r="J296" s="2">
        <v>74.5</v>
      </c>
      <c r="K296" s="3">
        <f>BanHang[[#This Row],[Diện tích (m²)]]*BanHang[[#This Row],[Đơn giá (trđ/m²)]]</f>
        <v>4261.4000000000005</v>
      </c>
      <c r="L296" s="4">
        <v>0.05</v>
      </c>
      <c r="M296" t="s">
        <v>27</v>
      </c>
      <c r="N296" s="3">
        <f>IF(BanHang[[#This Row],[Trạng thái]]="Huỷ cọc",0,BanHang[[#This Row],[Giá trị hợp đồng (trđ)]]*(1-BanHang[[#This Row],[Chiết khấu (%)]]))</f>
        <v>4048.3300000000004</v>
      </c>
    </row>
    <row r="297" spans="1:14" x14ac:dyDescent="0.3">
      <c r="A297" t="s">
        <v>346</v>
      </c>
      <c r="B297" s="1">
        <v>46195.8125</v>
      </c>
      <c r="C297" t="str">
        <f>"Tháng "&amp;MONTH(BanHang[[#This Row],[Ngày giờ bán]])</f>
        <v>Tháng 6</v>
      </c>
      <c r="D297" t="s">
        <v>408</v>
      </c>
      <c r="E297" t="s">
        <v>180</v>
      </c>
      <c r="F297" t="s">
        <v>17</v>
      </c>
      <c r="G297" t="s">
        <v>51</v>
      </c>
      <c r="H297" t="s">
        <v>19</v>
      </c>
      <c r="I297" s="2">
        <v>129.9</v>
      </c>
      <c r="J297" s="2">
        <v>41.7</v>
      </c>
      <c r="K297" s="3">
        <f>BanHang[[#This Row],[Diện tích (m²)]]*BanHang[[#This Row],[Đơn giá (trđ/m²)]]</f>
        <v>5416.8300000000008</v>
      </c>
      <c r="L297" s="4">
        <v>0.03</v>
      </c>
      <c r="M297" t="s">
        <v>53</v>
      </c>
      <c r="N297" s="3">
        <f>IF(BanHang[[#This Row],[Trạng thái]]="Huỷ cọc",0,BanHang[[#This Row],[Giá trị hợp đồng (trđ)]]*(1-BanHang[[#This Row],[Chiết khấu (%)]]))</f>
        <v>5254.3251000000009</v>
      </c>
    </row>
    <row r="298" spans="1:14" x14ac:dyDescent="0.3">
      <c r="A298" t="s">
        <v>347</v>
      </c>
      <c r="B298" s="1">
        <v>46196.447916666664</v>
      </c>
      <c r="C298" t="str">
        <f>"Tháng "&amp;MONTH(BanHang[[#This Row],[Ngày giờ bán]])</f>
        <v>Tháng 6</v>
      </c>
      <c r="D298" t="s">
        <v>479</v>
      </c>
      <c r="E298" t="s">
        <v>23</v>
      </c>
      <c r="F298" t="s">
        <v>17</v>
      </c>
      <c r="G298" t="s">
        <v>108</v>
      </c>
      <c r="H298" t="s">
        <v>406</v>
      </c>
      <c r="I298" s="2">
        <v>95.5</v>
      </c>
      <c r="J298" s="2">
        <v>93.2</v>
      </c>
      <c r="K298" s="3">
        <f>BanHang[[#This Row],[Diện tích (m²)]]*BanHang[[#This Row],[Đơn giá (trđ/m²)]]</f>
        <v>8900.6</v>
      </c>
      <c r="L298" s="4">
        <v>0.02</v>
      </c>
      <c r="M298" t="s">
        <v>53</v>
      </c>
      <c r="N298" s="3">
        <f>IF(BanHang[[#This Row],[Trạng thái]]="Huỷ cọc",0,BanHang[[#This Row],[Giá trị hợp đồng (trđ)]]*(1-BanHang[[#This Row],[Chiết khấu (%)]]))</f>
        <v>8722.5879999999997</v>
      </c>
    </row>
    <row r="299" spans="1:14" x14ac:dyDescent="0.3">
      <c r="A299" t="s">
        <v>348</v>
      </c>
      <c r="B299" s="1">
        <v>46196.635416666664</v>
      </c>
      <c r="C299" t="str">
        <f>"Tháng "&amp;MONTH(BanHang[[#This Row],[Ngày giờ bán]])</f>
        <v>Tháng 6</v>
      </c>
      <c r="D299" t="s">
        <v>22</v>
      </c>
      <c r="E299" t="s">
        <v>23</v>
      </c>
      <c r="F299" t="s">
        <v>107</v>
      </c>
      <c r="G299" t="s">
        <v>51</v>
      </c>
      <c r="H299" t="s">
        <v>26</v>
      </c>
      <c r="I299" s="2">
        <v>149</v>
      </c>
      <c r="J299" s="2">
        <v>85.4</v>
      </c>
      <c r="K299" s="3">
        <f>BanHang[[#This Row],[Diện tích (m²)]]*BanHang[[#This Row],[Đơn giá (trđ/m²)]]</f>
        <v>12724.6</v>
      </c>
      <c r="L299" s="4">
        <v>0.05</v>
      </c>
      <c r="M299" t="s">
        <v>53</v>
      </c>
      <c r="N299" s="3">
        <f>IF(BanHang[[#This Row],[Trạng thái]]="Huỷ cọc",0,BanHang[[#This Row],[Giá trị hợp đồng (trđ)]]*(1-BanHang[[#This Row],[Chiết khấu (%)]]))</f>
        <v>12088.369999999999</v>
      </c>
    </row>
    <row r="300" spans="1:14" x14ac:dyDescent="0.3">
      <c r="A300" t="s">
        <v>349</v>
      </c>
      <c r="B300" s="1">
        <v>46197.729166666672</v>
      </c>
      <c r="C300" t="str">
        <f>"Tháng "&amp;MONTH(BanHang[[#This Row],[Ngày giờ bán]])</f>
        <v>Tháng 6</v>
      </c>
      <c r="D300" t="s">
        <v>111</v>
      </c>
      <c r="E300" t="s">
        <v>50</v>
      </c>
      <c r="F300" t="s">
        <v>156</v>
      </c>
      <c r="G300" t="s">
        <v>18</v>
      </c>
      <c r="H300" t="s">
        <v>476</v>
      </c>
      <c r="I300" s="2">
        <v>86.1</v>
      </c>
      <c r="J300" s="2">
        <v>44.9</v>
      </c>
      <c r="K300" s="3">
        <f>BanHang[[#This Row],[Diện tích (m²)]]*BanHang[[#This Row],[Đơn giá (trđ/m²)]]</f>
        <v>3865.8899999999994</v>
      </c>
      <c r="L300" s="4">
        <v>0.05</v>
      </c>
      <c r="M300" t="s">
        <v>53</v>
      </c>
      <c r="N300" s="3">
        <f>IF(BanHang[[#This Row],[Trạng thái]]="Huỷ cọc",0,BanHang[[#This Row],[Giá trị hợp đồng (trđ)]]*(1-BanHang[[#This Row],[Chiết khấu (%)]]))</f>
        <v>3672.5954999999994</v>
      </c>
    </row>
    <row r="301" spans="1:14" x14ac:dyDescent="0.3">
      <c r="A301" t="s">
        <v>350</v>
      </c>
      <c r="B301" s="1">
        <v>46198.447916666664</v>
      </c>
      <c r="C301" t="str">
        <f>"Tháng "&amp;MONTH(BanHang[[#This Row],[Ngày giờ bán]])</f>
        <v>Tháng 6</v>
      </c>
      <c r="D301" t="s">
        <v>225</v>
      </c>
      <c r="E301" t="s">
        <v>180</v>
      </c>
      <c r="F301" t="s">
        <v>107</v>
      </c>
      <c r="G301" t="s">
        <v>108</v>
      </c>
      <c r="H301" t="s">
        <v>157</v>
      </c>
      <c r="I301" s="2">
        <v>84.2</v>
      </c>
      <c r="J301" s="2">
        <v>56.1</v>
      </c>
      <c r="K301" s="3">
        <f>BanHang[[#This Row],[Diện tích (m²)]]*BanHang[[#This Row],[Đơn giá (trđ/m²)]]</f>
        <v>4723.62</v>
      </c>
      <c r="L301" s="4">
        <v>0.08</v>
      </c>
      <c r="M301" t="s">
        <v>53</v>
      </c>
      <c r="N301" s="3">
        <f>IF(BanHang[[#This Row],[Trạng thái]]="Huỷ cọc",0,BanHang[[#This Row],[Giá trị hợp đồng (trđ)]]*(1-BanHang[[#This Row],[Chiết khấu (%)]]))</f>
        <v>4345.7304000000004</v>
      </c>
    </row>
    <row r="302" spans="1:14" x14ac:dyDescent="0.3">
      <c r="A302" t="s">
        <v>351</v>
      </c>
      <c r="B302" s="1">
        <v>46198.458333333336</v>
      </c>
      <c r="C302" t="str">
        <f>"Tháng "&amp;MONTH(BanHang[[#This Row],[Ngày giờ bán]])</f>
        <v>Tháng 6</v>
      </c>
      <c r="D302" t="s">
        <v>408</v>
      </c>
      <c r="E302" t="s">
        <v>180</v>
      </c>
      <c r="F302" t="s">
        <v>107</v>
      </c>
      <c r="G302" t="s">
        <v>108</v>
      </c>
      <c r="H302" t="s">
        <v>26</v>
      </c>
      <c r="I302" s="2">
        <v>180</v>
      </c>
      <c r="J302" s="2">
        <v>41.5</v>
      </c>
      <c r="K302" s="3">
        <f>BanHang[[#This Row],[Diện tích (m²)]]*BanHang[[#This Row],[Đơn giá (trđ/m²)]]</f>
        <v>7470</v>
      </c>
      <c r="L302" s="4">
        <v>0</v>
      </c>
      <c r="M302" t="s">
        <v>27</v>
      </c>
      <c r="N302" s="3">
        <f>IF(BanHang[[#This Row],[Trạng thái]]="Huỷ cọc",0,BanHang[[#This Row],[Giá trị hợp đồng (trđ)]]*(1-BanHang[[#This Row],[Chiết khấu (%)]]))</f>
        <v>7470</v>
      </c>
    </row>
    <row r="303" spans="1:14" x14ac:dyDescent="0.3">
      <c r="A303" t="s">
        <v>352</v>
      </c>
      <c r="B303" s="1">
        <v>46198.760416666664</v>
      </c>
      <c r="C303" t="str">
        <f>"Tháng "&amp;MONTH(BanHang[[#This Row],[Ngày giờ bán]])</f>
        <v>Tháng 6</v>
      </c>
      <c r="D303" t="s">
        <v>105</v>
      </c>
      <c r="E303" t="s">
        <v>23</v>
      </c>
      <c r="F303" t="s">
        <v>107</v>
      </c>
      <c r="G303" t="s">
        <v>108</v>
      </c>
      <c r="H303" t="s">
        <v>226</v>
      </c>
      <c r="I303" s="2">
        <v>105.8</v>
      </c>
      <c r="J303" s="2">
        <v>97.8</v>
      </c>
      <c r="K303" s="3">
        <f>BanHang[[#This Row],[Diện tích (m²)]]*BanHang[[#This Row],[Đơn giá (trđ/m²)]]</f>
        <v>10347.24</v>
      </c>
      <c r="L303" s="4">
        <v>0.03</v>
      </c>
      <c r="M303" t="s">
        <v>53</v>
      </c>
      <c r="N303" s="3">
        <f>IF(BanHang[[#This Row],[Trạng thái]]="Huỷ cọc",0,BanHang[[#This Row],[Giá trị hợp đồng (trđ)]]*(1-BanHang[[#This Row],[Chiết khấu (%)]]))</f>
        <v>10036.8228</v>
      </c>
    </row>
    <row r="304" spans="1:14" x14ac:dyDescent="0.3">
      <c r="A304" t="s">
        <v>353</v>
      </c>
      <c r="B304" s="1">
        <v>46198.822916666664</v>
      </c>
      <c r="C304" t="str">
        <f>"Tháng "&amp;MONTH(BanHang[[#This Row],[Ngày giờ bán]])</f>
        <v>Tháng 6</v>
      </c>
      <c r="D304" t="s">
        <v>249</v>
      </c>
      <c r="E304" t="s">
        <v>16</v>
      </c>
      <c r="F304" t="s">
        <v>17</v>
      </c>
      <c r="G304" t="s">
        <v>51</v>
      </c>
      <c r="H304" t="s">
        <v>79</v>
      </c>
      <c r="I304" s="2">
        <v>378.5</v>
      </c>
      <c r="J304" s="2">
        <v>94</v>
      </c>
      <c r="K304" s="3">
        <f>BanHang[[#This Row],[Diện tích (m²)]]*BanHang[[#This Row],[Đơn giá (trđ/m²)]]</f>
        <v>35579</v>
      </c>
      <c r="L304" s="4">
        <v>0.03</v>
      </c>
      <c r="M304" t="s">
        <v>27</v>
      </c>
      <c r="N304" s="3">
        <f>IF(BanHang[[#This Row],[Trạng thái]]="Huỷ cọc",0,BanHang[[#This Row],[Giá trị hợp đồng (trđ)]]*(1-BanHang[[#This Row],[Chiết khấu (%)]]))</f>
        <v>34511.629999999997</v>
      </c>
    </row>
    <row r="305" spans="1:14" x14ac:dyDescent="0.3">
      <c r="A305" t="s">
        <v>354</v>
      </c>
      <c r="B305" s="1">
        <v>46198.822916666664</v>
      </c>
      <c r="C305" t="str">
        <f>"Tháng "&amp;MONTH(BanHang[[#This Row],[Ngày giờ bán]])</f>
        <v>Tháng 6</v>
      </c>
      <c r="D305" t="s">
        <v>179</v>
      </c>
      <c r="E305" t="s">
        <v>180</v>
      </c>
      <c r="F305" t="s">
        <v>107</v>
      </c>
      <c r="G305" t="s">
        <v>25</v>
      </c>
      <c r="H305" t="s">
        <v>19</v>
      </c>
      <c r="I305" s="2">
        <v>124.5</v>
      </c>
      <c r="J305" s="2">
        <v>31.8</v>
      </c>
      <c r="K305" s="3">
        <f>BanHang[[#This Row],[Diện tích (m²)]]*BanHang[[#This Row],[Đơn giá (trđ/m²)]]</f>
        <v>3959.1</v>
      </c>
      <c r="L305" s="4">
        <v>7.0000000000000007E-2</v>
      </c>
      <c r="M305" t="s">
        <v>27</v>
      </c>
      <c r="N305" s="3">
        <f>IF(BanHang[[#This Row],[Trạng thái]]="Huỷ cọc",0,BanHang[[#This Row],[Giá trị hợp đồng (trđ)]]*(1-BanHang[[#This Row],[Chiết khấu (%)]]))</f>
        <v>3681.9629999999997</v>
      </c>
    </row>
    <row r="306" spans="1:14" x14ac:dyDescent="0.3">
      <c r="A306" t="s">
        <v>355</v>
      </c>
      <c r="B306" s="1">
        <v>46199.375</v>
      </c>
      <c r="C306" t="str">
        <f>"Tháng "&amp;MONTH(BanHang[[#This Row],[Ngày giờ bán]])</f>
        <v>Tháng 6</v>
      </c>
      <c r="D306" t="s">
        <v>22</v>
      </c>
      <c r="E306" t="s">
        <v>23</v>
      </c>
      <c r="F306" t="s">
        <v>77</v>
      </c>
      <c r="G306" t="s">
        <v>18</v>
      </c>
      <c r="H306" t="s">
        <v>109</v>
      </c>
      <c r="I306" s="2">
        <v>114.3</v>
      </c>
      <c r="J306" s="2">
        <v>100</v>
      </c>
      <c r="K306" s="3">
        <f>BanHang[[#This Row],[Diện tích (m²)]]*BanHang[[#This Row],[Đơn giá (trđ/m²)]]</f>
        <v>11430</v>
      </c>
      <c r="L306" s="4">
        <v>0.05</v>
      </c>
      <c r="M306" t="s">
        <v>53</v>
      </c>
      <c r="N306" s="3">
        <f>IF(BanHang[[#This Row],[Trạng thái]]="Huỷ cọc",0,BanHang[[#This Row],[Giá trị hợp đồng (trđ)]]*(1-BanHang[[#This Row],[Chiết khấu (%)]]))</f>
        <v>10858.5</v>
      </c>
    </row>
    <row r="307" spans="1:14" x14ac:dyDescent="0.3">
      <c r="A307" t="s">
        <v>356</v>
      </c>
      <c r="B307" s="1">
        <v>46199.447916666664</v>
      </c>
      <c r="C307" t="str">
        <f>"Tháng "&amp;MONTH(BanHang[[#This Row],[Ngày giờ bán]])</f>
        <v>Tháng 6</v>
      </c>
      <c r="D307" t="s">
        <v>249</v>
      </c>
      <c r="E307" t="s">
        <v>16</v>
      </c>
      <c r="F307" t="s">
        <v>103</v>
      </c>
      <c r="G307" t="s">
        <v>25</v>
      </c>
      <c r="H307" t="s">
        <v>109</v>
      </c>
      <c r="I307" s="2">
        <v>381.5</v>
      </c>
      <c r="J307" s="2">
        <v>92.1</v>
      </c>
      <c r="K307" s="3">
        <f>BanHang[[#This Row],[Diện tích (m²)]]*BanHang[[#This Row],[Đơn giá (trđ/m²)]]</f>
        <v>35136.15</v>
      </c>
      <c r="L307" s="4">
        <v>0.01</v>
      </c>
      <c r="M307" t="s">
        <v>27</v>
      </c>
      <c r="N307" s="3">
        <f>IF(BanHang[[#This Row],[Trạng thái]]="Huỷ cọc",0,BanHang[[#This Row],[Giá trị hợp đồng (trđ)]]*(1-BanHang[[#This Row],[Chiết khấu (%)]]))</f>
        <v>34784.788500000002</v>
      </c>
    </row>
    <row r="308" spans="1:14" x14ac:dyDescent="0.3">
      <c r="A308" t="s">
        <v>357</v>
      </c>
      <c r="B308" s="1">
        <v>46199.520833333336</v>
      </c>
      <c r="C308" t="str">
        <f>"Tháng "&amp;MONTH(BanHang[[#This Row],[Ngày giờ bán]])</f>
        <v>Tháng 6</v>
      </c>
      <c r="D308" t="s">
        <v>101</v>
      </c>
      <c r="E308" t="s">
        <v>50</v>
      </c>
      <c r="F308" t="s">
        <v>103</v>
      </c>
      <c r="G308" t="s">
        <v>108</v>
      </c>
      <c r="H308" t="s">
        <v>109</v>
      </c>
      <c r="I308" s="2">
        <v>87.7</v>
      </c>
      <c r="J308" s="2">
        <v>47.6</v>
      </c>
      <c r="K308" s="3">
        <f>BanHang[[#This Row],[Diện tích (m²)]]*BanHang[[#This Row],[Đơn giá (trđ/m²)]]</f>
        <v>4174.5200000000004</v>
      </c>
      <c r="L308" s="4">
        <v>0.03</v>
      </c>
      <c r="M308" t="s">
        <v>27</v>
      </c>
      <c r="N308" s="3">
        <f>IF(BanHang[[#This Row],[Trạng thái]]="Huỷ cọc",0,BanHang[[#This Row],[Giá trị hợp đồng (trđ)]]*(1-BanHang[[#This Row],[Chiết khấu (%)]]))</f>
        <v>4049.2844000000005</v>
      </c>
    </row>
    <row r="309" spans="1:14" x14ac:dyDescent="0.3">
      <c r="A309" t="s">
        <v>358</v>
      </c>
      <c r="B309" s="1">
        <v>46200.489583333336</v>
      </c>
      <c r="C309" t="str">
        <f>"Tháng "&amp;MONTH(BanHang[[#This Row],[Ngày giờ bán]])</f>
        <v>Tháng 6</v>
      </c>
      <c r="D309" t="s">
        <v>49</v>
      </c>
      <c r="E309" t="s">
        <v>50</v>
      </c>
      <c r="F309" t="s">
        <v>24</v>
      </c>
      <c r="G309" t="s">
        <v>18</v>
      </c>
      <c r="H309" t="s">
        <v>26</v>
      </c>
      <c r="I309" s="2">
        <v>92.8</v>
      </c>
      <c r="J309" s="2">
        <v>64.099999999999994</v>
      </c>
      <c r="K309" s="3">
        <f>BanHang[[#This Row],[Diện tích (m²)]]*BanHang[[#This Row],[Đơn giá (trđ/m²)]]</f>
        <v>5948.48</v>
      </c>
      <c r="L309" s="4">
        <v>0.01</v>
      </c>
      <c r="M309" t="s">
        <v>53</v>
      </c>
      <c r="N309" s="3">
        <f>IF(BanHang[[#This Row],[Trạng thái]]="Huỷ cọc",0,BanHang[[#This Row],[Giá trị hợp đồng (trđ)]]*(1-BanHang[[#This Row],[Chiết khấu (%)]]))</f>
        <v>5888.9951999999994</v>
      </c>
    </row>
    <row r="310" spans="1:14" x14ac:dyDescent="0.3">
      <c r="A310" t="s">
        <v>359</v>
      </c>
      <c r="B310" s="1">
        <v>46200.53125</v>
      </c>
      <c r="C310" t="str">
        <f>"Tháng "&amp;MONTH(BanHang[[#This Row],[Ngày giờ bán]])</f>
        <v>Tháng 6</v>
      </c>
      <c r="D310" t="s">
        <v>15</v>
      </c>
      <c r="E310" t="s">
        <v>16</v>
      </c>
      <c r="F310" t="s">
        <v>103</v>
      </c>
      <c r="G310" t="s">
        <v>108</v>
      </c>
      <c r="H310" t="s">
        <v>19</v>
      </c>
      <c r="I310" s="2">
        <v>263.8</v>
      </c>
      <c r="J310" s="2">
        <v>135.5</v>
      </c>
      <c r="K310" s="3">
        <f>BanHang[[#This Row],[Diện tích (m²)]]*BanHang[[#This Row],[Đơn giá (trđ/m²)]]</f>
        <v>35744.9</v>
      </c>
      <c r="L310" s="4">
        <v>0.03</v>
      </c>
      <c r="M310" t="s">
        <v>20</v>
      </c>
      <c r="N310" s="3">
        <f>IF(BanHang[[#This Row],[Trạng thái]]="Huỷ cọc",0,BanHang[[#This Row],[Giá trị hợp đồng (trđ)]]*(1-BanHang[[#This Row],[Chiết khấu (%)]]))</f>
        <v>0</v>
      </c>
    </row>
    <row r="311" spans="1:14" x14ac:dyDescent="0.3">
      <c r="A311" t="s">
        <v>360</v>
      </c>
      <c r="B311" s="1">
        <v>46201.802083333328</v>
      </c>
      <c r="C311" t="str">
        <f>"Tháng "&amp;MONTH(BanHang[[#This Row],[Ngày giờ bán]])</f>
        <v>Tháng 6</v>
      </c>
      <c r="D311" t="s">
        <v>49</v>
      </c>
      <c r="E311" t="s">
        <v>50</v>
      </c>
      <c r="F311" t="s">
        <v>24</v>
      </c>
      <c r="G311" t="s">
        <v>78</v>
      </c>
      <c r="H311" t="s">
        <v>406</v>
      </c>
      <c r="I311" s="2">
        <v>92.6</v>
      </c>
      <c r="J311" s="2">
        <v>73.8</v>
      </c>
      <c r="K311" s="3">
        <f>BanHang[[#This Row],[Diện tích (m²)]]*BanHang[[#This Row],[Đơn giá (trđ/m²)]]</f>
        <v>6833.8799999999992</v>
      </c>
      <c r="L311" s="4">
        <v>0.05</v>
      </c>
      <c r="M311" t="s">
        <v>27</v>
      </c>
      <c r="N311" s="3">
        <f>IF(BanHang[[#This Row],[Trạng thái]]="Huỷ cọc",0,BanHang[[#This Row],[Giá trị hợp đồng (trđ)]]*(1-BanHang[[#This Row],[Chiết khấu (%)]]))</f>
        <v>6492.1859999999988</v>
      </c>
    </row>
    <row r="312" spans="1:14" x14ac:dyDescent="0.3">
      <c r="A312" t="s">
        <v>361</v>
      </c>
      <c r="B312" s="1">
        <v>46201.822916666664</v>
      </c>
      <c r="C312" t="str">
        <f>"Tháng "&amp;MONTH(BanHang[[#This Row],[Ngày giờ bán]])</f>
        <v>Tháng 6</v>
      </c>
      <c r="D312" t="s">
        <v>479</v>
      </c>
      <c r="E312" t="s">
        <v>23</v>
      </c>
      <c r="F312" t="s">
        <v>24</v>
      </c>
      <c r="G312" t="s">
        <v>25</v>
      </c>
      <c r="H312" t="s">
        <v>109</v>
      </c>
      <c r="I312" s="2">
        <v>100.4</v>
      </c>
      <c r="J312" s="2">
        <v>110.7</v>
      </c>
      <c r="K312" s="3">
        <f>BanHang[[#This Row],[Diện tích (m²)]]*BanHang[[#This Row],[Đơn giá (trđ/m²)]]</f>
        <v>11114.28</v>
      </c>
      <c r="L312" s="4">
        <v>0.05</v>
      </c>
      <c r="M312" t="s">
        <v>53</v>
      </c>
      <c r="N312" s="3">
        <f>IF(BanHang[[#This Row],[Trạng thái]]="Huỷ cọc",0,BanHang[[#This Row],[Giá trị hợp đồng (trđ)]]*(1-BanHang[[#This Row],[Chiết khấu (%)]]))</f>
        <v>10558.566000000001</v>
      </c>
    </row>
    <row r="313" spans="1:14" x14ac:dyDescent="0.3">
      <c r="A313" t="s">
        <v>362</v>
      </c>
      <c r="B313" s="1">
        <v>46202.489583333336</v>
      </c>
      <c r="C313" t="str">
        <f>"Tháng "&amp;MONTH(BanHang[[#This Row],[Ngày giờ bán]])</f>
        <v>Tháng 6</v>
      </c>
      <c r="D313" t="s">
        <v>49</v>
      </c>
      <c r="E313" t="s">
        <v>50</v>
      </c>
      <c r="F313" t="s">
        <v>77</v>
      </c>
      <c r="G313" t="s">
        <v>108</v>
      </c>
      <c r="H313" t="s">
        <v>134</v>
      </c>
      <c r="I313" s="2">
        <v>66.599999999999994</v>
      </c>
      <c r="J313" s="2">
        <v>77.099999999999994</v>
      </c>
      <c r="K313" s="3">
        <f>BanHang[[#This Row],[Diện tích (m²)]]*BanHang[[#This Row],[Đơn giá (trđ/m²)]]</f>
        <v>5134.8599999999988</v>
      </c>
      <c r="L313" s="4">
        <v>0.08</v>
      </c>
      <c r="M313" t="s">
        <v>20</v>
      </c>
      <c r="N313" s="3">
        <f>IF(BanHang[[#This Row],[Trạng thái]]="Huỷ cọc",0,BanHang[[#This Row],[Giá trị hợp đồng (trđ)]]*(1-BanHang[[#This Row],[Chiết khấu (%)]]))</f>
        <v>0</v>
      </c>
    </row>
    <row r="314" spans="1:14" x14ac:dyDescent="0.3">
      <c r="A314" t="s">
        <v>363</v>
      </c>
      <c r="B314" s="1">
        <v>46202.65625</v>
      </c>
      <c r="C314" t="str">
        <f>"Tháng "&amp;MONTH(BanHang[[#This Row],[Ngày giờ bán]])</f>
        <v>Tháng 6</v>
      </c>
      <c r="D314" t="s">
        <v>478</v>
      </c>
      <c r="E314" t="s">
        <v>384</v>
      </c>
      <c r="F314" t="s">
        <v>107</v>
      </c>
      <c r="G314" t="s">
        <v>51</v>
      </c>
      <c r="H314" t="s">
        <v>79</v>
      </c>
      <c r="I314" s="2">
        <v>40.799999999999997</v>
      </c>
      <c r="J314" s="2">
        <v>60.5</v>
      </c>
      <c r="K314" s="3">
        <f>BanHang[[#This Row],[Diện tích (m²)]]*BanHang[[#This Row],[Đơn giá (trđ/m²)]]</f>
        <v>2468.3999999999996</v>
      </c>
      <c r="L314" s="4">
        <v>0.08</v>
      </c>
      <c r="M314" t="s">
        <v>53</v>
      </c>
      <c r="N314" s="3">
        <f>IF(BanHang[[#This Row],[Trạng thái]]="Huỷ cọc",0,BanHang[[#This Row],[Giá trị hợp đồng (trđ)]]*(1-BanHang[[#This Row],[Chiết khấu (%)]]))</f>
        <v>2270.9279999999999</v>
      </c>
    </row>
    <row r="315" spans="1:14" x14ac:dyDescent="0.3">
      <c r="A315" t="s">
        <v>364</v>
      </c>
      <c r="B315" s="1">
        <v>46202.739583333336</v>
      </c>
      <c r="C315" t="str">
        <f>"Tháng "&amp;MONTH(BanHang[[#This Row],[Ngày giờ bán]])</f>
        <v>Tháng 6</v>
      </c>
      <c r="D315" t="s">
        <v>225</v>
      </c>
      <c r="E315" t="s">
        <v>180</v>
      </c>
      <c r="F315" t="s">
        <v>103</v>
      </c>
      <c r="G315" t="s">
        <v>108</v>
      </c>
      <c r="H315" t="s">
        <v>226</v>
      </c>
      <c r="I315" s="2">
        <v>192.7</v>
      </c>
      <c r="J315" s="2">
        <v>41.9</v>
      </c>
      <c r="K315" s="3">
        <f>BanHang[[#This Row],[Diện tích (m²)]]*BanHang[[#This Row],[Đơn giá (trđ/m²)]]</f>
        <v>8074.1299999999992</v>
      </c>
      <c r="L315" s="4">
        <v>0.01</v>
      </c>
      <c r="M315" t="s">
        <v>53</v>
      </c>
      <c r="N315" s="3">
        <f>IF(BanHang[[#This Row],[Trạng thái]]="Huỷ cọc",0,BanHang[[#This Row],[Giá trị hợp đồng (trđ)]]*(1-BanHang[[#This Row],[Chiết khấu (%)]]))</f>
        <v>7993.3886999999995</v>
      </c>
    </row>
    <row r="316" spans="1:14" x14ac:dyDescent="0.3">
      <c r="A316" t="s">
        <v>365</v>
      </c>
      <c r="B316" s="1">
        <v>46203.416666666664</v>
      </c>
      <c r="C316" t="str">
        <f>"Tháng "&amp;MONTH(BanHang[[#This Row],[Ngày giờ bán]])</f>
        <v>Tháng 6</v>
      </c>
      <c r="D316" t="s">
        <v>101</v>
      </c>
      <c r="E316" t="s">
        <v>50</v>
      </c>
      <c r="F316" t="s">
        <v>107</v>
      </c>
      <c r="G316" t="s">
        <v>78</v>
      </c>
      <c r="H316" t="s">
        <v>476</v>
      </c>
      <c r="I316" s="2">
        <v>94.9</v>
      </c>
      <c r="J316" s="2">
        <v>51.7</v>
      </c>
      <c r="K316" s="3">
        <f>BanHang[[#This Row],[Diện tích (m²)]]*BanHang[[#This Row],[Đơn giá (trđ/m²)]]</f>
        <v>4906.3300000000008</v>
      </c>
      <c r="L316" s="4">
        <v>0.01</v>
      </c>
      <c r="M316" t="s">
        <v>20</v>
      </c>
      <c r="N316" s="3">
        <f>IF(BanHang[[#This Row],[Trạng thái]]="Huỷ cọc",0,BanHang[[#This Row],[Giá trị hợp đồng (trđ)]]*(1-BanHang[[#This Row],[Chiết khấu (%)]]))</f>
        <v>0</v>
      </c>
    </row>
    <row r="317" spans="1:14" x14ac:dyDescent="0.3">
      <c r="A317" t="s">
        <v>366</v>
      </c>
      <c r="B317" s="1">
        <v>46203.5</v>
      </c>
      <c r="C317" t="str">
        <f>"Tháng "&amp;MONTH(BanHang[[#This Row],[Ngày giờ bán]])</f>
        <v>Tháng 6</v>
      </c>
      <c r="D317" t="s">
        <v>49</v>
      </c>
      <c r="E317" t="s">
        <v>50</v>
      </c>
      <c r="F317" t="s">
        <v>77</v>
      </c>
      <c r="G317" t="s">
        <v>108</v>
      </c>
      <c r="H317" t="s">
        <v>79</v>
      </c>
      <c r="I317" s="2">
        <v>57.8</v>
      </c>
      <c r="J317" s="2">
        <v>59</v>
      </c>
      <c r="K317" s="3">
        <f>BanHang[[#This Row],[Diện tích (m²)]]*BanHang[[#This Row],[Đơn giá (trđ/m²)]]</f>
        <v>3410.2</v>
      </c>
      <c r="L317" s="4">
        <v>0.03</v>
      </c>
      <c r="M317" t="s">
        <v>53</v>
      </c>
      <c r="N317" s="3">
        <f>IF(BanHang[[#This Row],[Trạng thái]]="Huỷ cọc",0,BanHang[[#This Row],[Giá trị hợp đồng (trđ)]]*(1-BanHang[[#This Row],[Chiết khấu (%)]]))</f>
        <v>3307.8939999999998</v>
      </c>
    </row>
    <row r="318" spans="1:14" x14ac:dyDescent="0.3">
      <c r="A318" t="s">
        <v>367</v>
      </c>
      <c r="B318" s="1">
        <v>46203.520833333336</v>
      </c>
      <c r="C318" t="str">
        <f>"Tháng "&amp;MONTH(BanHang[[#This Row],[Ngày giờ bán]])</f>
        <v>Tháng 6</v>
      </c>
      <c r="D318" t="s">
        <v>179</v>
      </c>
      <c r="E318" t="s">
        <v>180</v>
      </c>
      <c r="F318" t="s">
        <v>17</v>
      </c>
      <c r="G318" t="s">
        <v>78</v>
      </c>
      <c r="H318" t="s">
        <v>79</v>
      </c>
      <c r="I318" s="2">
        <v>190.5</v>
      </c>
      <c r="J318" s="2">
        <v>47.2</v>
      </c>
      <c r="K318" s="3">
        <f>BanHang[[#This Row],[Diện tích (m²)]]*BanHang[[#This Row],[Đơn giá (trđ/m²)]]</f>
        <v>8991.6</v>
      </c>
      <c r="L318" s="4">
        <v>0.05</v>
      </c>
      <c r="M318" t="s">
        <v>27</v>
      </c>
      <c r="N318" s="3">
        <f>IF(BanHang[[#This Row],[Trạng thái]]="Huỷ cọc",0,BanHang[[#This Row],[Giá trị hợp đồng (trđ)]]*(1-BanHang[[#This Row],[Chiết khấu (%)]]))</f>
        <v>8542.02</v>
      </c>
    </row>
    <row r="319" spans="1:14" x14ac:dyDescent="0.3">
      <c r="A319" t="s">
        <v>368</v>
      </c>
      <c r="B319" s="1">
        <v>46203.604166666672</v>
      </c>
      <c r="C319" t="str">
        <f>"Tháng "&amp;MONTH(BanHang[[#This Row],[Ngày giờ bán]])</f>
        <v>Tháng 6</v>
      </c>
      <c r="D319" t="s">
        <v>49</v>
      </c>
      <c r="E319" t="s">
        <v>50</v>
      </c>
      <c r="F319" t="s">
        <v>103</v>
      </c>
      <c r="G319" t="s">
        <v>51</v>
      </c>
      <c r="H319" t="s">
        <v>79</v>
      </c>
      <c r="I319" s="2">
        <v>83.4</v>
      </c>
      <c r="J319" s="2">
        <v>52.8</v>
      </c>
      <c r="K319" s="3">
        <f>BanHang[[#This Row],[Diện tích (m²)]]*BanHang[[#This Row],[Đơn giá (trđ/m²)]]</f>
        <v>4403.5200000000004</v>
      </c>
      <c r="L319" s="4">
        <v>0.02</v>
      </c>
      <c r="M319" t="s">
        <v>27</v>
      </c>
      <c r="N319" s="3">
        <f>IF(BanHang[[#This Row],[Trạng thái]]="Huỷ cọc",0,BanHang[[#This Row],[Giá trị hợp đồng (trđ)]]*(1-BanHang[[#This Row],[Chiết khấu (%)]]))</f>
        <v>4315.4495999999999</v>
      </c>
    </row>
    <row r="320" spans="1:14" x14ac:dyDescent="0.3">
      <c r="A320" t="s">
        <v>369</v>
      </c>
      <c r="B320" s="1">
        <v>46204.447916666664</v>
      </c>
      <c r="C320" t="str">
        <f>"Tháng "&amp;MONTH(BanHang[[#This Row],[Ngày giờ bán]])</f>
        <v>Tháng 7</v>
      </c>
      <c r="D320" t="s">
        <v>478</v>
      </c>
      <c r="E320" t="s">
        <v>384</v>
      </c>
      <c r="F320" t="s">
        <v>77</v>
      </c>
      <c r="G320" t="s">
        <v>51</v>
      </c>
      <c r="H320" t="s">
        <v>109</v>
      </c>
      <c r="I320" s="2">
        <v>73</v>
      </c>
      <c r="J320" s="2">
        <v>50.8</v>
      </c>
      <c r="K320" s="3">
        <f>BanHang[[#This Row],[Diện tích (m²)]]*BanHang[[#This Row],[Đơn giá (trđ/m²)]]</f>
        <v>3708.3999999999996</v>
      </c>
      <c r="L320" s="4">
        <v>0.01</v>
      </c>
      <c r="M320" t="s">
        <v>53</v>
      </c>
      <c r="N320" s="3">
        <f>IF(BanHang[[#This Row],[Trạng thái]]="Huỷ cọc",0,BanHang[[#This Row],[Giá trị hợp đồng (trđ)]]*(1-BanHang[[#This Row],[Chiết khấu (%)]]))</f>
        <v>3671.3159999999998</v>
      </c>
    </row>
    <row r="321" spans="1:14" x14ac:dyDescent="0.3">
      <c r="A321" t="s">
        <v>370</v>
      </c>
      <c r="B321" s="1">
        <v>46204.65625</v>
      </c>
      <c r="C321" t="str">
        <f>"Tháng "&amp;MONTH(BanHang[[#This Row],[Ngày giờ bán]])</f>
        <v>Tháng 7</v>
      </c>
      <c r="D321" t="s">
        <v>179</v>
      </c>
      <c r="E321" t="s">
        <v>180</v>
      </c>
      <c r="F321" t="s">
        <v>156</v>
      </c>
      <c r="G321" t="s">
        <v>108</v>
      </c>
      <c r="H321" t="s">
        <v>406</v>
      </c>
      <c r="I321" s="2">
        <v>198.8</v>
      </c>
      <c r="J321" s="2">
        <v>37.9</v>
      </c>
      <c r="K321" s="3">
        <f>BanHang[[#This Row],[Diện tích (m²)]]*BanHang[[#This Row],[Đơn giá (trđ/m²)]]</f>
        <v>7534.52</v>
      </c>
      <c r="L321" s="4">
        <v>7.0000000000000007E-2</v>
      </c>
      <c r="M321" t="s">
        <v>53</v>
      </c>
      <c r="N321" s="3">
        <f>IF(BanHang[[#This Row],[Trạng thái]]="Huỷ cọc",0,BanHang[[#This Row],[Giá trị hợp đồng (trđ)]]*(1-BanHang[[#This Row],[Chiết khấu (%)]]))</f>
        <v>7007.1036000000004</v>
      </c>
    </row>
    <row r="322" spans="1:14" x14ac:dyDescent="0.3">
      <c r="A322" t="s">
        <v>371</v>
      </c>
      <c r="B322" s="1">
        <v>46204.75</v>
      </c>
      <c r="C322" t="str">
        <f>"Tháng "&amp;MONTH(BanHang[[#This Row],[Ngày giờ bán]])</f>
        <v>Tháng 7</v>
      </c>
      <c r="D322" t="s">
        <v>49</v>
      </c>
      <c r="E322" t="s">
        <v>50</v>
      </c>
      <c r="F322" t="s">
        <v>77</v>
      </c>
      <c r="G322" t="s">
        <v>78</v>
      </c>
      <c r="H322" t="s">
        <v>19</v>
      </c>
      <c r="I322" s="2">
        <v>93.9</v>
      </c>
      <c r="J322" s="2">
        <v>64.599999999999994</v>
      </c>
      <c r="K322" s="3">
        <f>BanHang[[#This Row],[Diện tích (m²)]]*BanHang[[#This Row],[Đơn giá (trđ/m²)]]</f>
        <v>6065.94</v>
      </c>
      <c r="L322" s="4">
        <v>0.03</v>
      </c>
      <c r="M322" t="s">
        <v>53</v>
      </c>
      <c r="N322" s="3">
        <f>IF(BanHang[[#This Row],[Trạng thái]]="Huỷ cọc",0,BanHang[[#This Row],[Giá trị hợp đồng (trđ)]]*(1-BanHang[[#This Row],[Chiết khấu (%)]]))</f>
        <v>5883.9617999999991</v>
      </c>
    </row>
    <row r="323" spans="1:14" x14ac:dyDescent="0.3">
      <c r="A323" t="s">
        <v>372</v>
      </c>
      <c r="B323" s="1">
        <v>46204.791666666664</v>
      </c>
      <c r="C323" t="str">
        <f>"Tháng "&amp;MONTH(BanHang[[#This Row],[Ngày giờ bán]])</f>
        <v>Tháng 7</v>
      </c>
      <c r="D323" t="s">
        <v>478</v>
      </c>
      <c r="E323" t="s">
        <v>384</v>
      </c>
      <c r="F323" t="s">
        <v>156</v>
      </c>
      <c r="G323" t="s">
        <v>108</v>
      </c>
      <c r="H323" t="s">
        <v>79</v>
      </c>
      <c r="I323" s="2">
        <v>63.4</v>
      </c>
      <c r="J323" s="2">
        <v>66.599999999999994</v>
      </c>
      <c r="K323" s="3">
        <f>BanHang[[#This Row],[Diện tích (m²)]]*BanHang[[#This Row],[Đơn giá (trđ/m²)]]</f>
        <v>4222.4399999999996</v>
      </c>
      <c r="L323" s="4">
        <v>0.03</v>
      </c>
      <c r="M323" t="s">
        <v>20</v>
      </c>
      <c r="N323" s="3">
        <f>IF(BanHang[[#This Row],[Trạng thái]]="Huỷ cọc",0,BanHang[[#This Row],[Giá trị hợp đồng (trđ)]]*(1-BanHang[[#This Row],[Chiết khấu (%)]]))</f>
        <v>0</v>
      </c>
    </row>
    <row r="324" spans="1:14" x14ac:dyDescent="0.3">
      <c r="A324" t="s">
        <v>373</v>
      </c>
      <c r="B324" s="1">
        <v>46205.375</v>
      </c>
      <c r="C324" t="str">
        <f>"Tháng "&amp;MONTH(BanHang[[#This Row],[Ngày giờ bán]])</f>
        <v>Tháng 7</v>
      </c>
      <c r="D324" t="s">
        <v>225</v>
      </c>
      <c r="E324" t="s">
        <v>180</v>
      </c>
      <c r="F324" t="s">
        <v>156</v>
      </c>
      <c r="G324" t="s">
        <v>51</v>
      </c>
      <c r="H324" t="s">
        <v>19</v>
      </c>
      <c r="I324" s="2">
        <v>196.4</v>
      </c>
      <c r="J324" s="2">
        <v>41.2</v>
      </c>
      <c r="K324" s="3">
        <f>BanHang[[#This Row],[Diện tích (m²)]]*BanHang[[#This Row],[Đơn giá (trđ/m²)]]</f>
        <v>8091.6800000000012</v>
      </c>
      <c r="L324" s="4">
        <v>0.02</v>
      </c>
      <c r="M324" t="s">
        <v>53</v>
      </c>
      <c r="N324" s="3">
        <f>IF(BanHang[[#This Row],[Trạng thái]]="Huỷ cọc",0,BanHang[[#This Row],[Giá trị hợp đồng (trđ)]]*(1-BanHang[[#This Row],[Chiết khấu (%)]]))</f>
        <v>7929.8464000000013</v>
      </c>
    </row>
    <row r="325" spans="1:14" x14ac:dyDescent="0.3">
      <c r="A325" t="s">
        <v>374</v>
      </c>
      <c r="B325" s="1">
        <v>46205.479166666672</v>
      </c>
      <c r="C325" t="str">
        <f>"Tháng "&amp;MONTH(BanHang[[#This Row],[Ngày giờ bán]])</f>
        <v>Tháng 7</v>
      </c>
      <c r="D325" t="s">
        <v>111</v>
      </c>
      <c r="E325" t="s">
        <v>50</v>
      </c>
      <c r="F325" t="s">
        <v>156</v>
      </c>
      <c r="G325" t="s">
        <v>18</v>
      </c>
      <c r="H325" t="s">
        <v>19</v>
      </c>
      <c r="I325" s="2">
        <v>80</v>
      </c>
      <c r="J325" s="2">
        <v>76.400000000000006</v>
      </c>
      <c r="K325" s="3">
        <f>BanHang[[#This Row],[Diện tích (m²)]]*BanHang[[#This Row],[Đơn giá (trđ/m²)]]</f>
        <v>6112</v>
      </c>
      <c r="L325" s="4">
        <v>0.05</v>
      </c>
      <c r="M325" t="s">
        <v>53</v>
      </c>
      <c r="N325" s="3">
        <f>IF(BanHang[[#This Row],[Trạng thái]]="Huỷ cọc",0,BanHang[[#This Row],[Giá trị hợp đồng (trđ)]]*(1-BanHang[[#This Row],[Chiết khấu (%)]]))</f>
        <v>5806.4</v>
      </c>
    </row>
    <row r="326" spans="1:14" x14ac:dyDescent="0.3">
      <c r="A326" t="s">
        <v>375</v>
      </c>
      <c r="B326" s="1">
        <v>46205.520833333336</v>
      </c>
      <c r="C326" t="str">
        <f>"Tháng "&amp;MONTH(BanHang[[#This Row],[Ngày giờ bán]])</f>
        <v>Tháng 7</v>
      </c>
      <c r="D326" t="s">
        <v>76</v>
      </c>
      <c r="E326" t="s">
        <v>50</v>
      </c>
      <c r="F326" t="s">
        <v>24</v>
      </c>
      <c r="G326" t="s">
        <v>108</v>
      </c>
      <c r="H326" t="s">
        <v>79</v>
      </c>
      <c r="I326" s="2">
        <v>70.7</v>
      </c>
      <c r="J326" s="2">
        <v>59.1</v>
      </c>
      <c r="K326" s="3">
        <f>BanHang[[#This Row],[Diện tích (m²)]]*BanHang[[#This Row],[Đơn giá (trđ/m²)]]</f>
        <v>4178.37</v>
      </c>
      <c r="L326" s="4">
        <v>0.05</v>
      </c>
      <c r="M326" t="s">
        <v>53</v>
      </c>
      <c r="N326" s="3">
        <f>IF(BanHang[[#This Row],[Trạng thái]]="Huỷ cọc",0,BanHang[[#This Row],[Giá trị hợp đồng (trđ)]]*(1-BanHang[[#This Row],[Chiết khấu (%)]]))</f>
        <v>3969.4514999999997</v>
      </c>
    </row>
    <row r="327" spans="1:14" x14ac:dyDescent="0.3">
      <c r="A327" t="s">
        <v>376</v>
      </c>
      <c r="B327" s="1">
        <v>46205.78125</v>
      </c>
      <c r="C327" t="str">
        <f>"Tháng "&amp;MONTH(BanHang[[#This Row],[Ngày giờ bán]])</f>
        <v>Tháng 7</v>
      </c>
      <c r="D327" t="s">
        <v>383</v>
      </c>
      <c r="E327" t="s">
        <v>384</v>
      </c>
      <c r="F327" t="s">
        <v>107</v>
      </c>
      <c r="G327" t="s">
        <v>18</v>
      </c>
      <c r="H327" t="s">
        <v>52</v>
      </c>
      <c r="I327" s="2">
        <v>67.5</v>
      </c>
      <c r="J327" s="2">
        <v>69.7</v>
      </c>
      <c r="K327" s="3">
        <f>BanHang[[#This Row],[Diện tích (m²)]]*BanHang[[#This Row],[Đơn giá (trđ/m²)]]</f>
        <v>4704.75</v>
      </c>
      <c r="L327" s="4">
        <v>0.03</v>
      </c>
      <c r="M327" t="s">
        <v>53</v>
      </c>
      <c r="N327" s="3">
        <f>IF(BanHang[[#This Row],[Trạng thái]]="Huỷ cọc",0,BanHang[[#This Row],[Giá trị hợp đồng (trđ)]]*(1-BanHang[[#This Row],[Chiết khấu (%)]]))</f>
        <v>4563.6075000000001</v>
      </c>
    </row>
    <row r="328" spans="1:14" x14ac:dyDescent="0.3">
      <c r="A328" t="s">
        <v>377</v>
      </c>
      <c r="B328" s="1">
        <v>46205.8125</v>
      </c>
      <c r="C328" t="str">
        <f>"Tháng "&amp;MONTH(BanHang[[#This Row],[Ngày giờ bán]])</f>
        <v>Tháng 7</v>
      </c>
      <c r="D328" t="s">
        <v>49</v>
      </c>
      <c r="E328" t="s">
        <v>50</v>
      </c>
      <c r="F328" t="s">
        <v>24</v>
      </c>
      <c r="G328" t="s">
        <v>78</v>
      </c>
      <c r="H328" t="s">
        <v>476</v>
      </c>
      <c r="I328" s="2">
        <v>69</v>
      </c>
      <c r="J328" s="2">
        <v>60.1</v>
      </c>
      <c r="K328" s="3">
        <f>BanHang[[#This Row],[Diện tích (m²)]]*BanHang[[#This Row],[Đơn giá (trđ/m²)]]</f>
        <v>4146.9000000000005</v>
      </c>
      <c r="L328" s="4">
        <v>0</v>
      </c>
      <c r="M328" t="s">
        <v>27</v>
      </c>
      <c r="N328" s="3">
        <f>IF(BanHang[[#This Row],[Trạng thái]]="Huỷ cọc",0,BanHang[[#This Row],[Giá trị hợp đồng (trđ)]]*(1-BanHang[[#This Row],[Chiết khấu (%)]]))</f>
        <v>4146.9000000000005</v>
      </c>
    </row>
    <row r="329" spans="1:14" x14ac:dyDescent="0.3">
      <c r="A329" t="s">
        <v>378</v>
      </c>
      <c r="B329" s="1">
        <v>46206.34375</v>
      </c>
      <c r="C329" t="str">
        <f>"Tháng "&amp;MONTH(BanHang[[#This Row],[Ngày giờ bán]])</f>
        <v>Tháng 7</v>
      </c>
      <c r="D329" t="s">
        <v>76</v>
      </c>
      <c r="E329" t="s">
        <v>50</v>
      </c>
      <c r="F329" t="s">
        <v>77</v>
      </c>
      <c r="G329" t="s">
        <v>108</v>
      </c>
      <c r="H329" t="s">
        <v>226</v>
      </c>
      <c r="I329" s="2">
        <v>81.3</v>
      </c>
      <c r="J329" s="2">
        <v>51.5</v>
      </c>
      <c r="K329" s="3">
        <f>BanHang[[#This Row],[Diện tích (m²)]]*BanHang[[#This Row],[Đơn giá (trđ/m²)]]</f>
        <v>4186.95</v>
      </c>
      <c r="L329" s="4">
        <v>0.05</v>
      </c>
      <c r="M329" t="s">
        <v>27</v>
      </c>
      <c r="N329" s="3">
        <f>IF(BanHang[[#This Row],[Trạng thái]]="Huỷ cọc",0,BanHang[[#This Row],[Giá trị hợp đồng (trđ)]]*(1-BanHang[[#This Row],[Chiết khấu (%)]]))</f>
        <v>3977.6024999999995</v>
      </c>
    </row>
    <row r="330" spans="1:14" x14ac:dyDescent="0.3">
      <c r="A330" t="s">
        <v>379</v>
      </c>
      <c r="B330" s="1">
        <v>46206.447916666664</v>
      </c>
      <c r="C330" t="str">
        <f>"Tháng "&amp;MONTH(BanHang[[#This Row],[Ngày giờ bán]])</f>
        <v>Tháng 7</v>
      </c>
      <c r="D330" t="s">
        <v>249</v>
      </c>
      <c r="E330" t="s">
        <v>16</v>
      </c>
      <c r="F330" t="s">
        <v>156</v>
      </c>
      <c r="G330" t="s">
        <v>78</v>
      </c>
      <c r="H330" t="s">
        <v>26</v>
      </c>
      <c r="I330" s="2">
        <v>284.5</v>
      </c>
      <c r="J330" s="2">
        <v>126.1</v>
      </c>
      <c r="K330" s="3">
        <f>BanHang[[#This Row],[Diện tích (m²)]]*BanHang[[#This Row],[Đơn giá (trđ/m²)]]</f>
        <v>35875.449999999997</v>
      </c>
      <c r="L330" s="4">
        <v>0</v>
      </c>
      <c r="M330" t="s">
        <v>53</v>
      </c>
      <c r="N330" s="3">
        <f>IF(BanHang[[#This Row],[Trạng thái]]="Huỷ cọc",0,BanHang[[#This Row],[Giá trị hợp đồng (trđ)]]*(1-BanHang[[#This Row],[Chiết khấu (%)]]))</f>
        <v>35875.449999999997</v>
      </c>
    </row>
    <row r="331" spans="1:14" x14ac:dyDescent="0.3">
      <c r="A331" t="s">
        <v>380</v>
      </c>
      <c r="B331" s="1">
        <v>46206.583333333336</v>
      </c>
      <c r="C331" t="str">
        <f>"Tháng "&amp;MONTH(BanHang[[#This Row],[Ngày giờ bán]])</f>
        <v>Tháng 7</v>
      </c>
      <c r="D331" t="s">
        <v>408</v>
      </c>
      <c r="E331" t="s">
        <v>180</v>
      </c>
      <c r="F331" t="s">
        <v>77</v>
      </c>
      <c r="G331" t="s">
        <v>108</v>
      </c>
      <c r="H331" t="s">
        <v>134</v>
      </c>
      <c r="I331" s="2">
        <v>133.6</v>
      </c>
      <c r="J331" s="2">
        <v>45.3</v>
      </c>
      <c r="K331" s="3">
        <f>BanHang[[#This Row],[Diện tích (m²)]]*BanHang[[#This Row],[Đơn giá (trđ/m²)]]</f>
        <v>6052.079999999999</v>
      </c>
      <c r="L331" s="4">
        <v>7.0000000000000007E-2</v>
      </c>
      <c r="M331" t="s">
        <v>53</v>
      </c>
      <c r="N331" s="3">
        <f>IF(BanHang[[#This Row],[Trạng thái]]="Huỷ cọc",0,BanHang[[#This Row],[Giá trị hợp đồng (trđ)]]*(1-BanHang[[#This Row],[Chiết khấu (%)]]))</f>
        <v>5628.4343999999983</v>
      </c>
    </row>
    <row r="332" spans="1:14" x14ac:dyDescent="0.3">
      <c r="A332" t="s">
        <v>381</v>
      </c>
      <c r="B332" s="1">
        <v>46206.666666666664</v>
      </c>
      <c r="C332" t="str">
        <f>"Tháng "&amp;MONTH(BanHang[[#This Row],[Ngày giờ bán]])</f>
        <v>Tháng 7</v>
      </c>
      <c r="D332" t="s">
        <v>49</v>
      </c>
      <c r="E332" t="s">
        <v>50</v>
      </c>
      <c r="F332" t="s">
        <v>156</v>
      </c>
      <c r="G332" t="s">
        <v>51</v>
      </c>
      <c r="H332" t="s">
        <v>109</v>
      </c>
      <c r="I332" s="2">
        <v>85.1</v>
      </c>
      <c r="J332" s="2">
        <v>70.599999999999994</v>
      </c>
      <c r="K332" s="3">
        <f>BanHang[[#This Row],[Diện tích (m²)]]*BanHang[[#This Row],[Đơn giá (trđ/m²)]]</f>
        <v>6008.0599999999995</v>
      </c>
      <c r="L332" s="4">
        <v>0.03</v>
      </c>
      <c r="M332" t="s">
        <v>27</v>
      </c>
      <c r="N332" s="3">
        <f>IF(BanHang[[#This Row],[Trạng thái]]="Huỷ cọc",0,BanHang[[#This Row],[Giá trị hợp đồng (trđ)]]*(1-BanHang[[#This Row],[Chiết khấu (%)]]))</f>
        <v>5827.8181999999997</v>
      </c>
    </row>
    <row r="333" spans="1:14" x14ac:dyDescent="0.3">
      <c r="A333" t="s">
        <v>382</v>
      </c>
      <c r="B333" s="1">
        <v>46206.729166666672</v>
      </c>
      <c r="C333" t="str">
        <f>"Tháng "&amp;MONTH(BanHang[[#This Row],[Ngày giờ bán]])</f>
        <v>Tháng 7</v>
      </c>
      <c r="D333" t="s">
        <v>479</v>
      </c>
      <c r="E333" t="s">
        <v>23</v>
      </c>
      <c r="F333" t="s">
        <v>107</v>
      </c>
      <c r="G333" t="s">
        <v>51</v>
      </c>
      <c r="H333" t="s">
        <v>52</v>
      </c>
      <c r="I333" s="2">
        <v>147.4</v>
      </c>
      <c r="J333" s="2">
        <v>103.7</v>
      </c>
      <c r="K333" s="3">
        <f>BanHang[[#This Row],[Diện tích (m²)]]*BanHang[[#This Row],[Đơn giá (trđ/m²)]]</f>
        <v>15285.380000000001</v>
      </c>
      <c r="L333" s="4">
        <v>0.01</v>
      </c>
      <c r="M333" t="s">
        <v>53</v>
      </c>
      <c r="N333" s="3">
        <f>IF(BanHang[[#This Row],[Trạng thái]]="Huỷ cọc",0,BanHang[[#This Row],[Giá trị hợp đồng (trđ)]]*(1-BanHang[[#This Row],[Chiết khấu (%)]]))</f>
        <v>15132.5262</v>
      </c>
    </row>
    <row r="334" spans="1:14" x14ac:dyDescent="0.3">
      <c r="A334" t="s">
        <v>385</v>
      </c>
      <c r="B334" s="1">
        <v>46206.739583333336</v>
      </c>
      <c r="C334" t="str">
        <f>"Tháng "&amp;MONTH(BanHang[[#This Row],[Ngày giờ bán]])</f>
        <v>Tháng 7</v>
      </c>
      <c r="D334" t="s">
        <v>76</v>
      </c>
      <c r="E334" t="s">
        <v>50</v>
      </c>
      <c r="F334" t="s">
        <v>77</v>
      </c>
      <c r="G334" t="s">
        <v>51</v>
      </c>
      <c r="H334" t="s">
        <v>79</v>
      </c>
      <c r="I334" s="2">
        <v>63.8</v>
      </c>
      <c r="J334" s="2">
        <v>59.3</v>
      </c>
      <c r="K334" s="3">
        <f>BanHang[[#This Row],[Diện tích (m²)]]*BanHang[[#This Row],[Đơn giá (trđ/m²)]]</f>
        <v>3783.3399999999997</v>
      </c>
      <c r="L334" s="4">
        <v>0.08</v>
      </c>
      <c r="M334" t="s">
        <v>27</v>
      </c>
      <c r="N334" s="3">
        <f>IF(BanHang[[#This Row],[Trạng thái]]="Huỷ cọc",0,BanHang[[#This Row],[Giá trị hợp đồng (trđ)]]*(1-BanHang[[#This Row],[Chiết khấu (%)]]))</f>
        <v>3480.6727999999998</v>
      </c>
    </row>
    <row r="335" spans="1:14" x14ac:dyDescent="0.3">
      <c r="A335" t="s">
        <v>386</v>
      </c>
      <c r="B335" s="1">
        <v>46206.822916666664</v>
      </c>
      <c r="C335" t="str">
        <f>"Tháng "&amp;MONTH(BanHang[[#This Row],[Ngày giờ bán]])</f>
        <v>Tháng 7</v>
      </c>
      <c r="D335" t="s">
        <v>179</v>
      </c>
      <c r="E335" t="s">
        <v>180</v>
      </c>
      <c r="F335" t="s">
        <v>24</v>
      </c>
      <c r="G335" t="s">
        <v>108</v>
      </c>
      <c r="H335" t="s">
        <v>476</v>
      </c>
      <c r="I335" s="2">
        <v>188.7</v>
      </c>
      <c r="J335" s="2">
        <v>38.4</v>
      </c>
      <c r="K335" s="3">
        <f>BanHang[[#This Row],[Diện tích (m²)]]*BanHang[[#This Row],[Đơn giá (trđ/m²)]]</f>
        <v>7246.079999999999</v>
      </c>
      <c r="L335" s="4">
        <v>0.02</v>
      </c>
      <c r="M335" t="s">
        <v>53</v>
      </c>
      <c r="N335" s="3">
        <f>IF(BanHang[[#This Row],[Trạng thái]]="Huỷ cọc",0,BanHang[[#This Row],[Giá trị hợp đồng (trđ)]]*(1-BanHang[[#This Row],[Chiết khấu (%)]]))</f>
        <v>7101.1583999999993</v>
      </c>
    </row>
    <row r="336" spans="1:14" x14ac:dyDescent="0.3">
      <c r="A336" t="s">
        <v>387</v>
      </c>
      <c r="B336" s="1">
        <v>46208.416666666664</v>
      </c>
      <c r="C336" t="str">
        <f>"Tháng "&amp;MONTH(BanHang[[#This Row],[Ngày giờ bán]])</f>
        <v>Tháng 7</v>
      </c>
      <c r="D336" t="s">
        <v>101</v>
      </c>
      <c r="E336" t="s">
        <v>50</v>
      </c>
      <c r="F336" t="s">
        <v>17</v>
      </c>
      <c r="G336" t="s">
        <v>51</v>
      </c>
      <c r="H336" t="s">
        <v>406</v>
      </c>
      <c r="I336" s="2">
        <v>88.2</v>
      </c>
      <c r="J336" s="2">
        <v>72.8</v>
      </c>
      <c r="K336" s="3">
        <f>BanHang[[#This Row],[Diện tích (m²)]]*BanHang[[#This Row],[Đơn giá (trđ/m²)]]</f>
        <v>6420.96</v>
      </c>
      <c r="L336" s="4">
        <v>0.05</v>
      </c>
      <c r="M336" t="s">
        <v>53</v>
      </c>
      <c r="N336" s="3">
        <f>IF(BanHang[[#This Row],[Trạng thái]]="Huỷ cọc",0,BanHang[[#This Row],[Giá trị hợp đồng (trđ)]]*(1-BanHang[[#This Row],[Chiết khấu (%)]]))</f>
        <v>6099.9119999999994</v>
      </c>
    </row>
    <row r="337" spans="1:14" x14ac:dyDescent="0.3">
      <c r="A337" t="s">
        <v>388</v>
      </c>
      <c r="B337" s="1">
        <v>46208.46875</v>
      </c>
      <c r="C337" t="str">
        <f>"Tháng "&amp;MONTH(BanHang[[#This Row],[Ngày giờ bán]])</f>
        <v>Tháng 7</v>
      </c>
      <c r="D337" t="s">
        <v>179</v>
      </c>
      <c r="E337" t="s">
        <v>180</v>
      </c>
      <c r="F337" t="s">
        <v>103</v>
      </c>
      <c r="G337" t="s">
        <v>78</v>
      </c>
      <c r="H337" t="s">
        <v>19</v>
      </c>
      <c r="I337" s="2">
        <v>198.9</v>
      </c>
      <c r="J337" s="2">
        <v>47.7</v>
      </c>
      <c r="K337" s="3">
        <f>BanHang[[#This Row],[Diện tích (m²)]]*BanHang[[#This Row],[Đơn giá (trđ/m²)]]</f>
        <v>9487.5300000000007</v>
      </c>
      <c r="L337" s="4">
        <v>7.0000000000000007E-2</v>
      </c>
      <c r="M337" t="s">
        <v>53</v>
      </c>
      <c r="N337" s="3">
        <f>IF(BanHang[[#This Row],[Trạng thái]]="Huỷ cọc",0,BanHang[[#This Row],[Giá trị hợp đồng (trđ)]]*(1-BanHang[[#This Row],[Chiết khấu (%)]]))</f>
        <v>8823.4028999999991</v>
      </c>
    </row>
    <row r="338" spans="1:14" x14ac:dyDescent="0.3">
      <c r="A338" t="s">
        <v>389</v>
      </c>
      <c r="B338" s="1">
        <v>46208.53125</v>
      </c>
      <c r="C338" t="str">
        <f>"Tháng "&amp;MONTH(BanHang[[#This Row],[Ngày giờ bán]])</f>
        <v>Tháng 7</v>
      </c>
      <c r="D338" t="s">
        <v>179</v>
      </c>
      <c r="E338" t="s">
        <v>180</v>
      </c>
      <c r="F338" t="s">
        <v>24</v>
      </c>
      <c r="G338" t="s">
        <v>51</v>
      </c>
      <c r="H338" t="s">
        <v>406</v>
      </c>
      <c r="I338" s="2">
        <v>108.7</v>
      </c>
      <c r="J338" s="2">
        <v>30.4</v>
      </c>
      <c r="K338" s="3">
        <f>BanHang[[#This Row],[Diện tích (m²)]]*BanHang[[#This Row],[Đơn giá (trđ/m²)]]</f>
        <v>3304.48</v>
      </c>
      <c r="L338" s="4">
        <v>0.01</v>
      </c>
      <c r="M338" t="s">
        <v>53</v>
      </c>
      <c r="N338" s="3">
        <f>IF(BanHang[[#This Row],[Trạng thái]]="Huỷ cọc",0,BanHang[[#This Row],[Giá trị hợp đồng (trđ)]]*(1-BanHang[[#This Row],[Chiết khấu (%)]]))</f>
        <v>3271.4351999999999</v>
      </c>
    </row>
    <row r="339" spans="1:14" x14ac:dyDescent="0.3">
      <c r="A339" t="s">
        <v>390</v>
      </c>
      <c r="B339" s="1">
        <v>46208.552083333328</v>
      </c>
      <c r="C339" t="str">
        <f>"Tháng "&amp;MONTH(BanHang[[#This Row],[Ngày giờ bán]])</f>
        <v>Tháng 7</v>
      </c>
      <c r="D339" t="s">
        <v>454</v>
      </c>
      <c r="E339" t="s">
        <v>106</v>
      </c>
      <c r="F339" t="s">
        <v>107</v>
      </c>
      <c r="G339" t="s">
        <v>51</v>
      </c>
      <c r="H339" t="s">
        <v>406</v>
      </c>
      <c r="I339" s="2">
        <v>160.9</v>
      </c>
      <c r="J339" s="2">
        <v>134.9</v>
      </c>
      <c r="K339" s="3">
        <f>BanHang[[#This Row],[Diện tích (m²)]]*BanHang[[#This Row],[Đơn giá (trđ/m²)]]</f>
        <v>21705.410000000003</v>
      </c>
      <c r="L339" s="4">
        <v>0.03</v>
      </c>
      <c r="M339" t="s">
        <v>27</v>
      </c>
      <c r="N339" s="3">
        <f>IF(BanHang[[#This Row],[Trạng thái]]="Huỷ cọc",0,BanHang[[#This Row],[Giá trị hợp đồng (trđ)]]*(1-BanHang[[#This Row],[Chiết khấu (%)]]))</f>
        <v>21054.247700000004</v>
      </c>
    </row>
    <row r="340" spans="1:14" x14ac:dyDescent="0.3">
      <c r="A340" t="s">
        <v>391</v>
      </c>
      <c r="B340" s="1">
        <v>46209.458333333336</v>
      </c>
      <c r="C340" t="str">
        <f>"Tháng "&amp;MONTH(BanHang[[#This Row],[Ngày giờ bán]])</f>
        <v>Tháng 7</v>
      </c>
      <c r="D340" t="s">
        <v>454</v>
      </c>
      <c r="E340" t="s">
        <v>106</v>
      </c>
      <c r="F340" t="s">
        <v>17</v>
      </c>
      <c r="G340" t="s">
        <v>108</v>
      </c>
      <c r="H340" t="s">
        <v>226</v>
      </c>
      <c r="I340" s="2">
        <v>117.4</v>
      </c>
      <c r="J340" s="2">
        <v>159.5</v>
      </c>
      <c r="K340" s="3">
        <f>BanHang[[#This Row],[Diện tích (m²)]]*BanHang[[#This Row],[Đơn giá (trđ/m²)]]</f>
        <v>18725.3</v>
      </c>
      <c r="L340" s="4">
        <v>0.05</v>
      </c>
      <c r="M340" t="s">
        <v>20</v>
      </c>
      <c r="N340" s="3">
        <f>IF(BanHang[[#This Row],[Trạng thái]]="Huỷ cọc",0,BanHang[[#This Row],[Giá trị hợp đồng (trđ)]]*(1-BanHang[[#This Row],[Chiết khấu (%)]]))</f>
        <v>0</v>
      </c>
    </row>
    <row r="341" spans="1:14" x14ac:dyDescent="0.3">
      <c r="A341" t="s">
        <v>392</v>
      </c>
      <c r="B341" s="1">
        <v>46209.489583333336</v>
      </c>
      <c r="C341" t="str">
        <f>"Tháng "&amp;MONTH(BanHang[[#This Row],[Ngày giờ bán]])</f>
        <v>Tháng 7</v>
      </c>
      <c r="D341" t="s">
        <v>408</v>
      </c>
      <c r="E341" t="s">
        <v>180</v>
      </c>
      <c r="F341" t="s">
        <v>24</v>
      </c>
      <c r="G341" t="s">
        <v>51</v>
      </c>
      <c r="H341" t="s">
        <v>109</v>
      </c>
      <c r="I341" s="2">
        <v>93.9</v>
      </c>
      <c r="J341" s="2">
        <v>52</v>
      </c>
      <c r="K341" s="3">
        <f>BanHang[[#This Row],[Diện tích (m²)]]*BanHang[[#This Row],[Đơn giá (trđ/m²)]]</f>
        <v>4882.8</v>
      </c>
      <c r="L341" s="4">
        <v>0</v>
      </c>
      <c r="M341" t="s">
        <v>53</v>
      </c>
      <c r="N341" s="3">
        <f>IF(BanHang[[#This Row],[Trạng thái]]="Huỷ cọc",0,BanHang[[#This Row],[Giá trị hợp đồng (trđ)]]*(1-BanHang[[#This Row],[Chiết khấu (%)]]))</f>
        <v>4882.8</v>
      </c>
    </row>
    <row r="342" spans="1:14" x14ac:dyDescent="0.3">
      <c r="A342" t="s">
        <v>393</v>
      </c>
      <c r="B342" s="1">
        <v>46210.385416666664</v>
      </c>
      <c r="C342" t="str">
        <f>"Tháng "&amp;MONTH(BanHang[[#This Row],[Ngày giờ bán]])</f>
        <v>Tháng 7</v>
      </c>
      <c r="D342" t="s">
        <v>49</v>
      </c>
      <c r="E342" t="s">
        <v>50</v>
      </c>
      <c r="F342" t="s">
        <v>24</v>
      </c>
      <c r="G342" t="s">
        <v>51</v>
      </c>
      <c r="H342" t="s">
        <v>476</v>
      </c>
      <c r="I342" s="2">
        <v>76.8</v>
      </c>
      <c r="J342" s="2">
        <v>63.5</v>
      </c>
      <c r="K342" s="3">
        <f>BanHang[[#This Row],[Diện tích (m²)]]*BanHang[[#This Row],[Đơn giá (trđ/m²)]]</f>
        <v>4876.8</v>
      </c>
      <c r="L342" s="4">
        <v>0.01</v>
      </c>
      <c r="M342" t="s">
        <v>27</v>
      </c>
      <c r="N342" s="3">
        <f>IF(BanHang[[#This Row],[Trạng thái]]="Huỷ cọc",0,BanHang[[#This Row],[Giá trị hợp đồng (trđ)]]*(1-BanHang[[#This Row],[Chiết khấu (%)]]))</f>
        <v>4828.0320000000002</v>
      </c>
    </row>
    <row r="343" spans="1:14" x14ac:dyDescent="0.3">
      <c r="A343" t="s">
        <v>394</v>
      </c>
      <c r="B343" s="1">
        <v>46210.447916666664</v>
      </c>
      <c r="C343" t="str">
        <f>"Tháng "&amp;MONTH(BanHang[[#This Row],[Ngày giờ bán]])</f>
        <v>Tháng 7</v>
      </c>
      <c r="D343" t="s">
        <v>383</v>
      </c>
      <c r="E343" t="s">
        <v>384</v>
      </c>
      <c r="F343" t="s">
        <v>17</v>
      </c>
      <c r="G343" t="s">
        <v>108</v>
      </c>
      <c r="H343" t="s">
        <v>19</v>
      </c>
      <c r="I343" s="2">
        <v>54.9</v>
      </c>
      <c r="J343" s="2">
        <v>52.5</v>
      </c>
      <c r="K343" s="3">
        <f>BanHang[[#This Row],[Diện tích (m²)]]*BanHang[[#This Row],[Đơn giá (trđ/m²)]]</f>
        <v>2882.25</v>
      </c>
      <c r="L343" s="4">
        <v>7.0000000000000007E-2</v>
      </c>
      <c r="M343" t="s">
        <v>53</v>
      </c>
      <c r="N343" s="3">
        <f>IF(BanHang[[#This Row],[Trạng thái]]="Huỷ cọc",0,BanHang[[#This Row],[Giá trị hợp đồng (trđ)]]*(1-BanHang[[#This Row],[Chiết khấu (%)]]))</f>
        <v>2680.4924999999998</v>
      </c>
    </row>
    <row r="344" spans="1:14" x14ac:dyDescent="0.3">
      <c r="A344" t="s">
        <v>395</v>
      </c>
      <c r="B344" s="1">
        <v>46211.541666666664</v>
      </c>
      <c r="C344" t="str">
        <f>"Tháng "&amp;MONTH(BanHang[[#This Row],[Ngày giờ bán]])</f>
        <v>Tháng 7</v>
      </c>
      <c r="D344" t="s">
        <v>408</v>
      </c>
      <c r="E344" t="s">
        <v>180</v>
      </c>
      <c r="F344" t="s">
        <v>77</v>
      </c>
      <c r="G344" t="s">
        <v>78</v>
      </c>
      <c r="H344" t="s">
        <v>476</v>
      </c>
      <c r="I344" s="2">
        <v>199.1</v>
      </c>
      <c r="J344" s="2">
        <v>40.799999999999997</v>
      </c>
      <c r="K344" s="3">
        <f>BanHang[[#This Row],[Diện tích (m²)]]*BanHang[[#This Row],[Đơn giá (trđ/m²)]]</f>
        <v>8123.2799999999988</v>
      </c>
      <c r="L344" s="4">
        <v>0.05</v>
      </c>
      <c r="M344" t="s">
        <v>20</v>
      </c>
      <c r="N344" s="3">
        <f>IF(BanHang[[#This Row],[Trạng thái]]="Huỷ cọc",0,BanHang[[#This Row],[Giá trị hợp đồng (trđ)]]*(1-BanHang[[#This Row],[Chiết khấu (%)]]))</f>
        <v>0</v>
      </c>
    </row>
    <row r="345" spans="1:14" x14ac:dyDescent="0.3">
      <c r="A345" t="s">
        <v>396</v>
      </c>
      <c r="B345" s="1">
        <v>46211.5625</v>
      </c>
      <c r="C345" t="str">
        <f>"Tháng "&amp;MONTH(BanHang[[#This Row],[Ngày giờ bán]])</f>
        <v>Tháng 7</v>
      </c>
      <c r="D345" t="s">
        <v>49</v>
      </c>
      <c r="E345" t="s">
        <v>50</v>
      </c>
      <c r="F345" t="s">
        <v>103</v>
      </c>
      <c r="G345" t="s">
        <v>108</v>
      </c>
      <c r="H345" t="s">
        <v>79</v>
      </c>
      <c r="I345" s="2">
        <v>94.2</v>
      </c>
      <c r="J345" s="2">
        <v>67.400000000000006</v>
      </c>
      <c r="K345" s="3">
        <f>BanHang[[#This Row],[Diện tích (m²)]]*BanHang[[#This Row],[Đơn giá (trđ/m²)]]</f>
        <v>6349.0800000000008</v>
      </c>
      <c r="L345" s="4">
        <v>7.0000000000000007E-2</v>
      </c>
      <c r="M345" t="s">
        <v>53</v>
      </c>
      <c r="N345" s="3">
        <f>IF(BanHang[[#This Row],[Trạng thái]]="Huỷ cọc",0,BanHang[[#This Row],[Giá trị hợp đồng (trđ)]]*(1-BanHang[[#This Row],[Chiết khấu (%)]]))</f>
        <v>5904.6444000000001</v>
      </c>
    </row>
    <row r="346" spans="1:14" x14ac:dyDescent="0.3">
      <c r="A346" t="s">
        <v>397</v>
      </c>
      <c r="B346" s="1">
        <v>46212.614583333336</v>
      </c>
      <c r="C346" t="str">
        <f>"Tháng "&amp;MONTH(BanHang[[#This Row],[Ngày giờ bán]])</f>
        <v>Tháng 7</v>
      </c>
      <c r="D346" t="s">
        <v>101</v>
      </c>
      <c r="E346" t="s">
        <v>50</v>
      </c>
      <c r="F346" t="s">
        <v>77</v>
      </c>
      <c r="G346" t="s">
        <v>25</v>
      </c>
      <c r="H346" t="s">
        <v>109</v>
      </c>
      <c r="I346" s="2">
        <v>57.3</v>
      </c>
      <c r="J346" s="2">
        <v>45.9</v>
      </c>
      <c r="K346" s="3">
        <f>BanHang[[#This Row],[Diện tích (m²)]]*BanHang[[#This Row],[Đơn giá (trđ/m²)]]</f>
        <v>2630.0699999999997</v>
      </c>
      <c r="L346" s="4">
        <v>0.05</v>
      </c>
      <c r="M346" t="s">
        <v>27</v>
      </c>
      <c r="N346" s="3">
        <f>IF(BanHang[[#This Row],[Trạng thái]]="Huỷ cọc",0,BanHang[[#This Row],[Giá trị hợp đồng (trđ)]]*(1-BanHang[[#This Row],[Chiết khấu (%)]]))</f>
        <v>2498.5664999999995</v>
      </c>
    </row>
    <row r="347" spans="1:14" x14ac:dyDescent="0.3">
      <c r="A347" t="s">
        <v>398</v>
      </c>
      <c r="B347" s="1">
        <v>46212.760416666664</v>
      </c>
      <c r="C347" t="str">
        <f>"Tháng "&amp;MONTH(BanHang[[#This Row],[Ngày giờ bán]])</f>
        <v>Tháng 7</v>
      </c>
      <c r="D347" t="s">
        <v>225</v>
      </c>
      <c r="E347" t="s">
        <v>180</v>
      </c>
      <c r="F347" t="s">
        <v>24</v>
      </c>
      <c r="G347" t="s">
        <v>108</v>
      </c>
      <c r="H347" t="s">
        <v>476</v>
      </c>
      <c r="I347" s="2">
        <v>146.5</v>
      </c>
      <c r="J347" s="2">
        <v>45.1</v>
      </c>
      <c r="K347" s="3">
        <f>BanHang[[#This Row],[Diện tích (m²)]]*BanHang[[#This Row],[Đơn giá (trđ/m²)]]</f>
        <v>6607.1500000000005</v>
      </c>
      <c r="L347" s="4">
        <v>0.08</v>
      </c>
      <c r="M347" t="s">
        <v>27</v>
      </c>
      <c r="N347" s="3">
        <f>IF(BanHang[[#This Row],[Trạng thái]]="Huỷ cọc",0,BanHang[[#This Row],[Giá trị hợp đồng (trđ)]]*(1-BanHang[[#This Row],[Chiết khấu (%)]]))</f>
        <v>6078.5780000000004</v>
      </c>
    </row>
    <row r="348" spans="1:14" x14ac:dyDescent="0.3">
      <c r="A348" t="s">
        <v>399</v>
      </c>
      <c r="B348" s="1">
        <v>46213.333333333336</v>
      </c>
      <c r="C348" t="str">
        <f>"Tháng "&amp;MONTH(BanHang[[#This Row],[Ngày giờ bán]])</f>
        <v>Tháng 7</v>
      </c>
      <c r="D348" t="s">
        <v>15</v>
      </c>
      <c r="E348" t="s">
        <v>16</v>
      </c>
      <c r="F348" t="s">
        <v>24</v>
      </c>
      <c r="G348" t="s">
        <v>108</v>
      </c>
      <c r="H348" t="s">
        <v>109</v>
      </c>
      <c r="I348" s="2">
        <v>281</v>
      </c>
      <c r="J348" s="2">
        <v>135.30000000000001</v>
      </c>
      <c r="K348" s="3">
        <f>BanHang[[#This Row],[Diện tích (m²)]]*BanHang[[#This Row],[Đơn giá (trđ/m²)]]</f>
        <v>38019.300000000003</v>
      </c>
      <c r="L348" s="4">
        <v>7.0000000000000007E-2</v>
      </c>
      <c r="M348" t="s">
        <v>53</v>
      </c>
      <c r="N348" s="3">
        <f>IF(BanHang[[#This Row],[Trạng thái]]="Huỷ cọc",0,BanHang[[#This Row],[Giá trị hợp đồng (trđ)]]*(1-BanHang[[#This Row],[Chiết khấu (%)]]))</f>
        <v>35357.949000000001</v>
      </c>
    </row>
    <row r="349" spans="1:14" x14ac:dyDescent="0.3">
      <c r="A349" t="s">
        <v>400</v>
      </c>
      <c r="B349" s="1">
        <v>46213.333333333336</v>
      </c>
      <c r="C349" t="str">
        <f>"Tháng "&amp;MONTH(BanHang[[#This Row],[Ngày giờ bán]])</f>
        <v>Tháng 7</v>
      </c>
      <c r="D349" t="s">
        <v>49</v>
      </c>
      <c r="E349" t="s">
        <v>50</v>
      </c>
      <c r="F349" t="s">
        <v>156</v>
      </c>
      <c r="G349" t="s">
        <v>51</v>
      </c>
      <c r="H349" t="s">
        <v>134</v>
      </c>
      <c r="I349" s="2">
        <v>66.3</v>
      </c>
      <c r="J349" s="2">
        <v>42.3</v>
      </c>
      <c r="K349" s="3">
        <f>BanHang[[#This Row],[Diện tích (m²)]]*BanHang[[#This Row],[Đơn giá (trđ/m²)]]</f>
        <v>2804.49</v>
      </c>
      <c r="L349" s="4">
        <v>0</v>
      </c>
      <c r="M349" t="s">
        <v>53</v>
      </c>
      <c r="N349" s="3">
        <f>IF(BanHang[[#This Row],[Trạng thái]]="Huỷ cọc",0,BanHang[[#This Row],[Giá trị hợp đồng (trđ)]]*(1-BanHang[[#This Row],[Chiết khấu (%)]]))</f>
        <v>2804.49</v>
      </c>
    </row>
    <row r="350" spans="1:14" x14ac:dyDescent="0.3">
      <c r="A350" t="s">
        <v>401</v>
      </c>
      <c r="B350" s="1">
        <v>46213.770833333336</v>
      </c>
      <c r="C350" t="str">
        <f>"Tháng "&amp;MONTH(BanHang[[#This Row],[Ngày giờ bán]])</f>
        <v>Tháng 7</v>
      </c>
      <c r="D350" t="s">
        <v>111</v>
      </c>
      <c r="E350" t="s">
        <v>50</v>
      </c>
      <c r="F350" t="s">
        <v>24</v>
      </c>
      <c r="G350" t="s">
        <v>51</v>
      </c>
      <c r="H350" t="s">
        <v>157</v>
      </c>
      <c r="I350" s="2">
        <v>56.2</v>
      </c>
      <c r="J350" s="2">
        <v>43.5</v>
      </c>
      <c r="K350" s="3">
        <f>BanHang[[#This Row],[Diện tích (m²)]]*BanHang[[#This Row],[Đơn giá (trđ/m²)]]</f>
        <v>2444.7000000000003</v>
      </c>
      <c r="L350" s="4">
        <v>0</v>
      </c>
      <c r="M350" t="s">
        <v>27</v>
      </c>
      <c r="N350" s="3">
        <f>IF(BanHang[[#This Row],[Trạng thái]]="Huỷ cọc",0,BanHang[[#This Row],[Giá trị hợp đồng (trđ)]]*(1-BanHang[[#This Row],[Chiết khấu (%)]]))</f>
        <v>2444.7000000000003</v>
      </c>
    </row>
    <row r="351" spans="1:14" x14ac:dyDescent="0.3">
      <c r="A351" t="s">
        <v>402</v>
      </c>
      <c r="B351" s="1">
        <v>46214.46875</v>
      </c>
      <c r="C351" t="str">
        <f>"Tháng "&amp;MONTH(BanHang[[#This Row],[Ngày giờ bán]])</f>
        <v>Tháng 7</v>
      </c>
      <c r="D351" t="s">
        <v>49</v>
      </c>
      <c r="E351" t="s">
        <v>50</v>
      </c>
      <c r="F351" t="s">
        <v>17</v>
      </c>
      <c r="G351" t="s">
        <v>51</v>
      </c>
      <c r="H351" t="s">
        <v>476</v>
      </c>
      <c r="I351" s="2">
        <v>91</v>
      </c>
      <c r="J351" s="2">
        <v>61.7</v>
      </c>
      <c r="K351" s="3">
        <f>BanHang[[#This Row],[Diện tích (m²)]]*BanHang[[#This Row],[Đơn giá (trđ/m²)]]</f>
        <v>5614.7</v>
      </c>
      <c r="L351" s="4">
        <v>0.01</v>
      </c>
      <c r="M351" t="s">
        <v>20</v>
      </c>
      <c r="N351" s="3">
        <f>IF(BanHang[[#This Row],[Trạng thái]]="Huỷ cọc",0,BanHang[[#This Row],[Giá trị hợp đồng (trđ)]]*(1-BanHang[[#This Row],[Chiết khấu (%)]]))</f>
        <v>0</v>
      </c>
    </row>
    <row r="352" spans="1:14" x14ac:dyDescent="0.3">
      <c r="A352" t="s">
        <v>403</v>
      </c>
      <c r="B352" s="1">
        <v>46214.78125</v>
      </c>
      <c r="C352" t="str">
        <f>"Tháng "&amp;MONTH(BanHang[[#This Row],[Ngày giờ bán]])</f>
        <v>Tháng 7</v>
      </c>
      <c r="D352" t="s">
        <v>478</v>
      </c>
      <c r="E352" t="s">
        <v>384</v>
      </c>
      <c r="F352" t="s">
        <v>17</v>
      </c>
      <c r="G352" t="s">
        <v>18</v>
      </c>
      <c r="H352" t="s">
        <v>19</v>
      </c>
      <c r="I352" s="2">
        <v>65.5</v>
      </c>
      <c r="J352" s="2">
        <v>73.2</v>
      </c>
      <c r="K352" s="3">
        <f>BanHang[[#This Row],[Diện tích (m²)]]*BanHang[[#This Row],[Đơn giá (trđ/m²)]]</f>
        <v>4794.6000000000004</v>
      </c>
      <c r="L352" s="4">
        <v>0</v>
      </c>
      <c r="M352" t="s">
        <v>53</v>
      </c>
      <c r="N352" s="3">
        <f>IF(BanHang[[#This Row],[Trạng thái]]="Huỷ cọc",0,BanHang[[#This Row],[Giá trị hợp đồng (trđ)]]*(1-BanHang[[#This Row],[Chiết khấu (%)]]))</f>
        <v>4794.6000000000004</v>
      </c>
    </row>
    <row r="353" spans="1:14" x14ac:dyDescent="0.3">
      <c r="A353" t="s">
        <v>404</v>
      </c>
      <c r="B353" s="1">
        <v>46215.395833333336</v>
      </c>
      <c r="C353" t="str">
        <f>"Tháng "&amp;MONTH(BanHang[[#This Row],[Ngày giờ bán]])</f>
        <v>Tháng 7</v>
      </c>
      <c r="D353" t="s">
        <v>454</v>
      </c>
      <c r="E353" t="s">
        <v>106</v>
      </c>
      <c r="F353" t="s">
        <v>103</v>
      </c>
      <c r="G353" t="s">
        <v>51</v>
      </c>
      <c r="H353" t="s">
        <v>134</v>
      </c>
      <c r="I353" s="2">
        <v>127.6</v>
      </c>
      <c r="J353" s="2">
        <v>175.9</v>
      </c>
      <c r="K353" s="3">
        <f>BanHang[[#This Row],[Diện tích (m²)]]*BanHang[[#This Row],[Đơn giá (trđ/m²)]]</f>
        <v>22444.84</v>
      </c>
      <c r="L353" s="4">
        <v>0.05</v>
      </c>
      <c r="M353" t="s">
        <v>20</v>
      </c>
      <c r="N353" s="3">
        <f>IF(BanHang[[#This Row],[Trạng thái]]="Huỷ cọc",0,BanHang[[#This Row],[Giá trị hợp đồng (trđ)]]*(1-BanHang[[#This Row],[Chiết khấu (%)]]))</f>
        <v>0</v>
      </c>
    </row>
    <row r="354" spans="1:14" x14ac:dyDescent="0.3">
      <c r="A354" t="s">
        <v>405</v>
      </c>
      <c r="B354" s="1">
        <v>46215.395833333336</v>
      </c>
      <c r="C354" t="str">
        <f>"Tháng "&amp;MONTH(BanHang[[#This Row],[Ngày giờ bán]])</f>
        <v>Tháng 7</v>
      </c>
      <c r="D354" t="s">
        <v>101</v>
      </c>
      <c r="E354" t="s">
        <v>50</v>
      </c>
      <c r="F354" t="s">
        <v>77</v>
      </c>
      <c r="G354" t="s">
        <v>51</v>
      </c>
      <c r="H354" t="s">
        <v>406</v>
      </c>
      <c r="I354" s="2">
        <v>62.8</v>
      </c>
      <c r="J354" s="2">
        <v>53.5</v>
      </c>
      <c r="K354" s="3">
        <f>BanHang[[#This Row],[Diện tích (m²)]]*BanHang[[#This Row],[Đơn giá (trđ/m²)]]</f>
        <v>3359.7999999999997</v>
      </c>
      <c r="L354" s="4">
        <v>7.0000000000000007E-2</v>
      </c>
      <c r="M354" t="s">
        <v>27</v>
      </c>
      <c r="N354" s="3">
        <f>IF(BanHang[[#This Row],[Trạng thái]]="Huỷ cọc",0,BanHang[[#This Row],[Giá trị hợp đồng (trđ)]]*(1-BanHang[[#This Row],[Chiết khấu (%)]]))</f>
        <v>3124.6139999999996</v>
      </c>
    </row>
    <row r="355" spans="1:14" x14ac:dyDescent="0.3">
      <c r="A355" t="s">
        <v>407</v>
      </c>
      <c r="B355" s="1">
        <v>46215.458333333336</v>
      </c>
      <c r="C355" t="str">
        <f>"Tháng "&amp;MONTH(BanHang[[#This Row],[Ngày giờ bán]])</f>
        <v>Tháng 7</v>
      </c>
      <c r="D355" t="s">
        <v>15</v>
      </c>
      <c r="E355" t="s">
        <v>16</v>
      </c>
      <c r="F355" t="s">
        <v>24</v>
      </c>
      <c r="G355" t="s">
        <v>18</v>
      </c>
      <c r="H355" t="s">
        <v>226</v>
      </c>
      <c r="I355" s="2">
        <v>382.7</v>
      </c>
      <c r="J355" s="2">
        <v>179.3</v>
      </c>
      <c r="K355" s="3">
        <f>BanHang[[#This Row],[Diện tích (m²)]]*BanHang[[#This Row],[Đơn giá (trđ/m²)]]</f>
        <v>68618.11</v>
      </c>
      <c r="L355" s="4">
        <v>0.01</v>
      </c>
      <c r="M355" t="s">
        <v>53</v>
      </c>
      <c r="N355" s="3">
        <f>IF(BanHang[[#This Row],[Trạng thái]]="Huỷ cọc",0,BanHang[[#This Row],[Giá trị hợp đồng (trđ)]]*(1-BanHang[[#This Row],[Chiết khấu (%)]]))</f>
        <v>67931.928899999999</v>
      </c>
    </row>
    <row r="356" spans="1:14" x14ac:dyDescent="0.3">
      <c r="A356" t="s">
        <v>409</v>
      </c>
      <c r="B356" s="1">
        <v>46215.729166666672</v>
      </c>
      <c r="C356" t="str">
        <f>"Tháng "&amp;MONTH(BanHang[[#This Row],[Ngày giờ bán]])</f>
        <v>Tháng 7</v>
      </c>
      <c r="D356" t="s">
        <v>105</v>
      </c>
      <c r="E356" t="s">
        <v>23</v>
      </c>
      <c r="F356" t="s">
        <v>107</v>
      </c>
      <c r="G356" t="s">
        <v>51</v>
      </c>
      <c r="H356" t="s">
        <v>109</v>
      </c>
      <c r="I356" s="2">
        <v>88.3</v>
      </c>
      <c r="J356" s="2">
        <v>88.6</v>
      </c>
      <c r="K356" s="3">
        <f>BanHang[[#This Row],[Diện tích (m²)]]*BanHang[[#This Row],[Đơn giá (trđ/m²)]]</f>
        <v>7823.3799999999992</v>
      </c>
      <c r="L356" s="4">
        <v>0.01</v>
      </c>
      <c r="M356" t="s">
        <v>53</v>
      </c>
      <c r="N356" s="3">
        <f>IF(BanHang[[#This Row],[Trạng thái]]="Huỷ cọc",0,BanHang[[#This Row],[Giá trị hợp đồng (trđ)]]*(1-BanHang[[#This Row],[Chiết khấu (%)]]))</f>
        <v>7745.1461999999992</v>
      </c>
    </row>
    <row r="357" spans="1:14" x14ac:dyDescent="0.3">
      <c r="A357" t="s">
        <v>410</v>
      </c>
      <c r="B357" s="1">
        <v>46215.739583333336</v>
      </c>
      <c r="C357" t="str">
        <f>"Tháng "&amp;MONTH(BanHang[[#This Row],[Ngày giờ bán]])</f>
        <v>Tháng 7</v>
      </c>
      <c r="D357" t="s">
        <v>76</v>
      </c>
      <c r="E357" t="s">
        <v>50</v>
      </c>
      <c r="F357" t="s">
        <v>24</v>
      </c>
      <c r="G357" t="s">
        <v>108</v>
      </c>
      <c r="H357" t="s">
        <v>134</v>
      </c>
      <c r="I357" s="2">
        <v>75.599999999999994</v>
      </c>
      <c r="J357" s="2">
        <v>55.8</v>
      </c>
      <c r="K357" s="3">
        <f>BanHang[[#This Row],[Diện tích (m²)]]*BanHang[[#This Row],[Đơn giá (trđ/m²)]]</f>
        <v>4218.4799999999996</v>
      </c>
      <c r="L357" s="4">
        <v>0.01</v>
      </c>
      <c r="M357" t="s">
        <v>53</v>
      </c>
      <c r="N357" s="3">
        <f>IF(BanHang[[#This Row],[Trạng thái]]="Huỷ cọc",0,BanHang[[#This Row],[Giá trị hợp đồng (trđ)]]*(1-BanHang[[#This Row],[Chiết khấu (%)]]))</f>
        <v>4176.2951999999996</v>
      </c>
    </row>
    <row r="358" spans="1:14" x14ac:dyDescent="0.3">
      <c r="A358" t="s">
        <v>411</v>
      </c>
      <c r="B358" s="1">
        <v>46215.770833333336</v>
      </c>
      <c r="C358" t="str">
        <f>"Tháng "&amp;MONTH(BanHang[[#This Row],[Ngày giờ bán]])</f>
        <v>Tháng 7</v>
      </c>
      <c r="D358" t="s">
        <v>101</v>
      </c>
      <c r="E358" t="s">
        <v>50</v>
      </c>
      <c r="F358" t="s">
        <v>17</v>
      </c>
      <c r="G358" t="s">
        <v>108</v>
      </c>
      <c r="H358" t="s">
        <v>406</v>
      </c>
      <c r="I358" s="2">
        <v>81.599999999999994</v>
      </c>
      <c r="J358" s="2">
        <v>67</v>
      </c>
      <c r="K358" s="3">
        <f>BanHang[[#This Row],[Diện tích (m²)]]*BanHang[[#This Row],[Đơn giá (trđ/m²)]]</f>
        <v>5467.2</v>
      </c>
      <c r="L358" s="4">
        <v>0</v>
      </c>
      <c r="M358" t="s">
        <v>27</v>
      </c>
      <c r="N358" s="3">
        <f>IF(BanHang[[#This Row],[Trạng thái]]="Huỷ cọc",0,BanHang[[#This Row],[Giá trị hợp đồng (trđ)]]*(1-BanHang[[#This Row],[Chiết khấu (%)]]))</f>
        <v>5467.2</v>
      </c>
    </row>
    <row r="359" spans="1:14" x14ac:dyDescent="0.3">
      <c r="A359" t="s">
        <v>412</v>
      </c>
      <c r="B359" s="1">
        <v>46216.447916666664</v>
      </c>
      <c r="C359" t="str">
        <f>"Tháng "&amp;MONTH(BanHang[[#This Row],[Ngày giờ bán]])</f>
        <v>Tháng 7</v>
      </c>
      <c r="D359" t="s">
        <v>76</v>
      </c>
      <c r="E359" t="s">
        <v>50</v>
      </c>
      <c r="F359" t="s">
        <v>103</v>
      </c>
      <c r="G359" t="s">
        <v>18</v>
      </c>
      <c r="H359" t="s">
        <v>52</v>
      </c>
      <c r="I359" s="2">
        <v>76.5</v>
      </c>
      <c r="J359" s="2">
        <v>72.599999999999994</v>
      </c>
      <c r="K359" s="3">
        <f>BanHang[[#This Row],[Diện tích (m²)]]*BanHang[[#This Row],[Đơn giá (trđ/m²)]]</f>
        <v>5553.9</v>
      </c>
      <c r="L359" s="4">
        <v>0.03</v>
      </c>
      <c r="M359" t="s">
        <v>53</v>
      </c>
      <c r="N359" s="3">
        <f>IF(BanHang[[#This Row],[Trạng thái]]="Huỷ cọc",0,BanHang[[#This Row],[Giá trị hợp đồng (trđ)]]*(1-BanHang[[#This Row],[Chiết khấu (%)]]))</f>
        <v>5387.2829999999994</v>
      </c>
    </row>
    <row r="360" spans="1:14" x14ac:dyDescent="0.3">
      <c r="A360" t="s">
        <v>413</v>
      </c>
      <c r="B360" s="1">
        <v>46216.59375</v>
      </c>
      <c r="C360" t="str">
        <f>"Tháng "&amp;MONTH(BanHang[[#This Row],[Ngày giờ bán]])</f>
        <v>Tháng 7</v>
      </c>
      <c r="D360" t="s">
        <v>49</v>
      </c>
      <c r="E360" t="s">
        <v>50</v>
      </c>
      <c r="F360" t="s">
        <v>156</v>
      </c>
      <c r="G360" t="s">
        <v>51</v>
      </c>
      <c r="H360" t="s">
        <v>134</v>
      </c>
      <c r="I360" s="2">
        <v>75.3</v>
      </c>
      <c r="J360" s="2">
        <v>66.099999999999994</v>
      </c>
      <c r="K360" s="3">
        <f>BanHang[[#This Row],[Diện tích (m²)]]*BanHang[[#This Row],[Đơn giá (trđ/m²)]]</f>
        <v>4977.329999999999</v>
      </c>
      <c r="L360" s="4">
        <v>0.03</v>
      </c>
      <c r="M360" t="s">
        <v>53</v>
      </c>
      <c r="N360" s="3">
        <f>IF(BanHang[[#This Row],[Trạng thái]]="Huỷ cọc",0,BanHang[[#This Row],[Giá trị hợp đồng (trđ)]]*(1-BanHang[[#This Row],[Chiết khấu (%)]]))</f>
        <v>4828.0100999999986</v>
      </c>
    </row>
    <row r="361" spans="1:14" x14ac:dyDescent="0.3">
      <c r="A361" t="s">
        <v>414</v>
      </c>
      <c r="B361" s="1">
        <v>46217.364583333336</v>
      </c>
      <c r="C361" t="str">
        <f>"Tháng "&amp;MONTH(BanHang[[#This Row],[Ngày giờ bán]])</f>
        <v>Tháng 7</v>
      </c>
      <c r="D361" t="s">
        <v>76</v>
      </c>
      <c r="E361" t="s">
        <v>50</v>
      </c>
      <c r="F361" t="s">
        <v>107</v>
      </c>
      <c r="G361" t="s">
        <v>18</v>
      </c>
      <c r="H361" t="s">
        <v>109</v>
      </c>
      <c r="I361" s="2">
        <v>63.4</v>
      </c>
      <c r="J361" s="2">
        <v>45.3</v>
      </c>
      <c r="K361" s="3">
        <f>BanHang[[#This Row],[Diện tích (m²)]]*BanHang[[#This Row],[Đơn giá (trđ/m²)]]</f>
        <v>2872.02</v>
      </c>
      <c r="L361" s="4">
        <v>7.0000000000000007E-2</v>
      </c>
      <c r="M361" t="s">
        <v>27</v>
      </c>
      <c r="N361" s="3">
        <f>IF(BanHang[[#This Row],[Trạng thái]]="Huỷ cọc",0,BanHang[[#This Row],[Giá trị hợp đồng (trđ)]]*(1-BanHang[[#This Row],[Chiết khấu (%)]]))</f>
        <v>2670.9785999999999</v>
      </c>
    </row>
    <row r="362" spans="1:14" x14ac:dyDescent="0.3">
      <c r="A362" t="s">
        <v>415</v>
      </c>
      <c r="B362" s="1">
        <v>46217.635416666664</v>
      </c>
      <c r="C362" t="str">
        <f>"Tháng "&amp;MONTH(BanHang[[#This Row],[Ngày giờ bán]])</f>
        <v>Tháng 7</v>
      </c>
      <c r="D362" t="s">
        <v>76</v>
      </c>
      <c r="E362" t="s">
        <v>50</v>
      </c>
      <c r="F362" t="s">
        <v>103</v>
      </c>
      <c r="G362" t="s">
        <v>18</v>
      </c>
      <c r="H362" t="s">
        <v>19</v>
      </c>
      <c r="I362" s="2">
        <v>69.3</v>
      </c>
      <c r="J362" s="2">
        <v>49.6</v>
      </c>
      <c r="K362" s="3">
        <f>BanHang[[#This Row],[Diện tích (m²)]]*BanHang[[#This Row],[Đơn giá (trđ/m²)]]</f>
        <v>3437.2799999999997</v>
      </c>
      <c r="L362" s="4">
        <v>0</v>
      </c>
      <c r="M362" t="s">
        <v>53</v>
      </c>
      <c r="N362" s="3">
        <f>IF(BanHang[[#This Row],[Trạng thái]]="Huỷ cọc",0,BanHang[[#This Row],[Giá trị hợp đồng (trđ)]]*(1-BanHang[[#This Row],[Chiết khấu (%)]]))</f>
        <v>3437.2799999999997</v>
      </c>
    </row>
    <row r="363" spans="1:14" x14ac:dyDescent="0.3">
      <c r="A363" t="s">
        <v>416</v>
      </c>
      <c r="B363" s="1">
        <v>46218.510416666664</v>
      </c>
      <c r="C363" t="str">
        <f>"Tháng "&amp;MONTH(BanHang[[#This Row],[Ngày giờ bán]])</f>
        <v>Tháng 7</v>
      </c>
      <c r="D363" t="s">
        <v>101</v>
      </c>
      <c r="E363" t="s">
        <v>50</v>
      </c>
      <c r="F363" t="s">
        <v>17</v>
      </c>
      <c r="G363" t="s">
        <v>108</v>
      </c>
      <c r="H363" t="s">
        <v>109</v>
      </c>
      <c r="I363" s="2">
        <v>73.3</v>
      </c>
      <c r="J363" s="2">
        <v>61.7</v>
      </c>
      <c r="K363" s="3">
        <f>BanHang[[#This Row],[Diện tích (m²)]]*BanHang[[#This Row],[Đơn giá (trđ/m²)]]</f>
        <v>4522.6099999999997</v>
      </c>
      <c r="L363" s="4">
        <v>0</v>
      </c>
      <c r="M363" t="s">
        <v>27</v>
      </c>
      <c r="N363" s="3">
        <f>IF(BanHang[[#This Row],[Trạng thái]]="Huỷ cọc",0,BanHang[[#This Row],[Giá trị hợp đồng (trđ)]]*(1-BanHang[[#This Row],[Chiết khấu (%)]]))</f>
        <v>4522.6099999999997</v>
      </c>
    </row>
    <row r="364" spans="1:14" x14ac:dyDescent="0.3">
      <c r="A364" t="s">
        <v>417</v>
      </c>
      <c r="B364" s="1">
        <v>46219.395833333336</v>
      </c>
      <c r="C364" t="str">
        <f>"Tháng "&amp;MONTH(BanHang[[#This Row],[Ngày giờ bán]])</f>
        <v>Tháng 7</v>
      </c>
      <c r="D364" t="s">
        <v>179</v>
      </c>
      <c r="E364" t="s">
        <v>180</v>
      </c>
      <c r="F364" t="s">
        <v>24</v>
      </c>
      <c r="G364" t="s">
        <v>51</v>
      </c>
      <c r="H364" t="s">
        <v>52</v>
      </c>
      <c r="I364" s="2">
        <v>129.30000000000001</v>
      </c>
      <c r="J364" s="2">
        <v>26.6</v>
      </c>
      <c r="K364" s="3">
        <f>BanHang[[#This Row],[Diện tích (m²)]]*BanHang[[#This Row],[Đơn giá (trđ/m²)]]</f>
        <v>3439.3800000000006</v>
      </c>
      <c r="L364" s="4">
        <v>7.0000000000000007E-2</v>
      </c>
      <c r="M364" t="s">
        <v>27</v>
      </c>
      <c r="N364" s="3">
        <f>IF(BanHang[[#This Row],[Trạng thái]]="Huỷ cọc",0,BanHang[[#This Row],[Giá trị hợp đồng (trđ)]]*(1-BanHang[[#This Row],[Chiết khấu (%)]]))</f>
        <v>3198.6234000000004</v>
      </c>
    </row>
    <row r="365" spans="1:14" x14ac:dyDescent="0.3">
      <c r="A365" t="s">
        <v>418</v>
      </c>
      <c r="B365" s="1">
        <v>46219.479166666672</v>
      </c>
      <c r="C365" t="str">
        <f>"Tháng "&amp;MONTH(BanHang[[#This Row],[Ngày giờ bán]])</f>
        <v>Tháng 7</v>
      </c>
      <c r="D365" t="s">
        <v>479</v>
      </c>
      <c r="E365" t="s">
        <v>23</v>
      </c>
      <c r="F365" t="s">
        <v>77</v>
      </c>
      <c r="G365" t="s">
        <v>25</v>
      </c>
      <c r="H365" t="s">
        <v>157</v>
      </c>
      <c r="I365" s="2">
        <v>141.30000000000001</v>
      </c>
      <c r="J365" s="2">
        <v>108.6</v>
      </c>
      <c r="K365" s="3">
        <f>BanHang[[#This Row],[Diện tích (m²)]]*BanHang[[#This Row],[Đơn giá (trđ/m²)]]</f>
        <v>15345.18</v>
      </c>
      <c r="L365" s="4">
        <v>0.03</v>
      </c>
      <c r="M365" t="s">
        <v>27</v>
      </c>
      <c r="N365" s="3">
        <f>IF(BanHang[[#This Row],[Trạng thái]]="Huỷ cọc",0,BanHang[[#This Row],[Giá trị hợp đồng (trđ)]]*(1-BanHang[[#This Row],[Chiết khấu (%)]]))</f>
        <v>14884.8246</v>
      </c>
    </row>
    <row r="366" spans="1:14" x14ac:dyDescent="0.3">
      <c r="A366" t="s">
        <v>419</v>
      </c>
      <c r="B366" s="1">
        <v>46219.541666666664</v>
      </c>
      <c r="C366" t="str">
        <f>"Tháng "&amp;MONTH(BanHang[[#This Row],[Ngày giờ bán]])</f>
        <v>Tháng 7</v>
      </c>
      <c r="D366" t="s">
        <v>454</v>
      </c>
      <c r="E366" t="s">
        <v>106</v>
      </c>
      <c r="F366" t="s">
        <v>156</v>
      </c>
      <c r="G366" t="s">
        <v>108</v>
      </c>
      <c r="H366" t="s">
        <v>476</v>
      </c>
      <c r="I366" s="2">
        <v>149.5</v>
      </c>
      <c r="J366" s="2">
        <v>185.1</v>
      </c>
      <c r="K366" s="3">
        <f>BanHang[[#This Row],[Diện tích (m²)]]*BanHang[[#This Row],[Đơn giá (trđ/m²)]]</f>
        <v>27672.45</v>
      </c>
      <c r="L366" s="4">
        <v>0.02</v>
      </c>
      <c r="M366" t="s">
        <v>27</v>
      </c>
      <c r="N366" s="3">
        <f>IF(BanHang[[#This Row],[Trạng thái]]="Huỷ cọc",0,BanHang[[#This Row],[Giá trị hợp đồng (trđ)]]*(1-BanHang[[#This Row],[Chiết khấu (%)]]))</f>
        <v>27119.001</v>
      </c>
    </row>
    <row r="367" spans="1:14" x14ac:dyDescent="0.3">
      <c r="A367" t="s">
        <v>420</v>
      </c>
      <c r="B367" s="1">
        <v>46219.65625</v>
      </c>
      <c r="C367" t="str">
        <f>"Tháng "&amp;MONTH(BanHang[[#This Row],[Ngày giờ bán]])</f>
        <v>Tháng 7</v>
      </c>
      <c r="D367" t="s">
        <v>49</v>
      </c>
      <c r="E367" t="s">
        <v>50</v>
      </c>
      <c r="F367" t="s">
        <v>77</v>
      </c>
      <c r="G367" t="s">
        <v>51</v>
      </c>
      <c r="H367" t="s">
        <v>79</v>
      </c>
      <c r="I367" s="2">
        <v>57.3</v>
      </c>
      <c r="J367" s="2">
        <v>62</v>
      </c>
      <c r="K367" s="3">
        <f>BanHang[[#This Row],[Diện tích (m²)]]*BanHang[[#This Row],[Đơn giá (trđ/m²)]]</f>
        <v>3552.6</v>
      </c>
      <c r="L367" s="4">
        <v>0.02</v>
      </c>
      <c r="M367" t="s">
        <v>53</v>
      </c>
      <c r="N367" s="3">
        <f>IF(BanHang[[#This Row],[Trạng thái]]="Huỷ cọc",0,BanHang[[#This Row],[Giá trị hợp đồng (trđ)]]*(1-BanHang[[#This Row],[Chiết khấu (%)]]))</f>
        <v>3481.5479999999998</v>
      </c>
    </row>
    <row r="368" spans="1:14" x14ac:dyDescent="0.3">
      <c r="A368" t="s">
        <v>421</v>
      </c>
      <c r="B368" s="1">
        <v>46220.489583333336</v>
      </c>
      <c r="C368" t="str">
        <f>"Tháng "&amp;MONTH(BanHang[[#This Row],[Ngày giờ bán]])</f>
        <v>Tháng 7</v>
      </c>
      <c r="D368" t="s">
        <v>101</v>
      </c>
      <c r="E368" t="s">
        <v>50</v>
      </c>
      <c r="F368" t="s">
        <v>103</v>
      </c>
      <c r="G368" t="s">
        <v>108</v>
      </c>
      <c r="H368" t="s">
        <v>476</v>
      </c>
      <c r="I368" s="2">
        <v>70.3</v>
      </c>
      <c r="J368" s="2">
        <v>53.9</v>
      </c>
      <c r="K368" s="3">
        <f>BanHang[[#This Row],[Diện tích (m²)]]*BanHang[[#This Row],[Đơn giá (trđ/m²)]]</f>
        <v>3789.1699999999996</v>
      </c>
      <c r="L368" s="4">
        <v>0.01</v>
      </c>
      <c r="M368" t="s">
        <v>27</v>
      </c>
      <c r="N368" s="3">
        <f>IF(BanHang[[#This Row],[Trạng thái]]="Huỷ cọc",0,BanHang[[#This Row],[Giá trị hợp đồng (trđ)]]*(1-BanHang[[#This Row],[Chiết khấu (%)]]))</f>
        <v>3751.2782999999995</v>
      </c>
    </row>
    <row r="369" spans="1:14" x14ac:dyDescent="0.3">
      <c r="A369" t="s">
        <v>422</v>
      </c>
      <c r="B369" s="1">
        <v>46220.5</v>
      </c>
      <c r="C369" t="str">
        <f>"Tháng "&amp;MONTH(BanHang[[#This Row],[Ngày giờ bán]])</f>
        <v>Tháng 7</v>
      </c>
      <c r="D369" t="s">
        <v>179</v>
      </c>
      <c r="E369" t="s">
        <v>180</v>
      </c>
      <c r="F369" t="s">
        <v>156</v>
      </c>
      <c r="G369" t="s">
        <v>108</v>
      </c>
      <c r="H369" t="s">
        <v>52</v>
      </c>
      <c r="I369" s="2">
        <v>105.9</v>
      </c>
      <c r="J369" s="2">
        <v>29.9</v>
      </c>
      <c r="K369" s="3">
        <f>BanHang[[#This Row],[Diện tích (m²)]]*BanHang[[#This Row],[Đơn giá (trđ/m²)]]</f>
        <v>3166.41</v>
      </c>
      <c r="L369" s="4">
        <v>0.08</v>
      </c>
      <c r="M369" t="s">
        <v>53</v>
      </c>
      <c r="N369" s="3">
        <f>IF(BanHang[[#This Row],[Trạng thái]]="Huỷ cọc",0,BanHang[[#This Row],[Giá trị hợp đồng (trđ)]]*(1-BanHang[[#This Row],[Chiết khấu (%)]]))</f>
        <v>2913.0972000000002</v>
      </c>
    </row>
    <row r="370" spans="1:14" x14ac:dyDescent="0.3">
      <c r="A370" t="s">
        <v>423</v>
      </c>
      <c r="B370" s="1">
        <v>46220.802083333328</v>
      </c>
      <c r="C370" t="str">
        <f>"Tháng "&amp;MONTH(BanHang[[#This Row],[Ngày giờ bán]])</f>
        <v>Tháng 7</v>
      </c>
      <c r="D370" t="s">
        <v>111</v>
      </c>
      <c r="E370" t="s">
        <v>50</v>
      </c>
      <c r="F370" t="s">
        <v>77</v>
      </c>
      <c r="G370" t="s">
        <v>18</v>
      </c>
      <c r="H370" t="s">
        <v>476</v>
      </c>
      <c r="I370" s="2">
        <v>65.099999999999994</v>
      </c>
      <c r="J370" s="2">
        <v>62.8</v>
      </c>
      <c r="K370" s="3">
        <f>BanHang[[#This Row],[Diện tích (m²)]]*BanHang[[#This Row],[Đơn giá (trđ/m²)]]</f>
        <v>4088.2799999999993</v>
      </c>
      <c r="L370" s="4">
        <v>0</v>
      </c>
      <c r="M370" t="s">
        <v>27</v>
      </c>
      <c r="N370" s="3">
        <f>IF(BanHang[[#This Row],[Trạng thái]]="Huỷ cọc",0,BanHang[[#This Row],[Giá trị hợp đồng (trđ)]]*(1-BanHang[[#This Row],[Chiết khấu (%)]]))</f>
        <v>4088.2799999999993</v>
      </c>
    </row>
    <row r="371" spans="1:14" x14ac:dyDescent="0.3">
      <c r="A371" t="s">
        <v>424</v>
      </c>
      <c r="B371" s="1">
        <v>46221.552083333328</v>
      </c>
      <c r="C371" t="str">
        <f>"Tháng "&amp;MONTH(BanHang[[#This Row],[Ngày giờ bán]])</f>
        <v>Tháng 7</v>
      </c>
      <c r="D371" t="s">
        <v>225</v>
      </c>
      <c r="E371" t="s">
        <v>180</v>
      </c>
      <c r="F371" t="s">
        <v>103</v>
      </c>
      <c r="G371" t="s">
        <v>108</v>
      </c>
      <c r="H371" t="s">
        <v>79</v>
      </c>
      <c r="I371" s="2">
        <v>187.2</v>
      </c>
      <c r="J371" s="2">
        <v>54.4</v>
      </c>
      <c r="K371" s="3">
        <f>BanHang[[#This Row],[Diện tích (m²)]]*BanHang[[#This Row],[Đơn giá (trđ/m²)]]</f>
        <v>10183.679999999998</v>
      </c>
      <c r="L371" s="4">
        <v>0.01</v>
      </c>
      <c r="M371" t="s">
        <v>53</v>
      </c>
      <c r="N371" s="3">
        <f>IF(BanHang[[#This Row],[Trạng thái]]="Huỷ cọc",0,BanHang[[#This Row],[Giá trị hợp đồng (trđ)]]*(1-BanHang[[#This Row],[Chiết khấu (%)]]))</f>
        <v>10081.843199999998</v>
      </c>
    </row>
    <row r="372" spans="1:14" x14ac:dyDescent="0.3">
      <c r="A372" t="s">
        <v>425</v>
      </c>
      <c r="B372" s="1">
        <v>46221.604166666672</v>
      </c>
      <c r="C372" t="str">
        <f>"Tháng "&amp;MONTH(BanHang[[#This Row],[Ngày giờ bán]])</f>
        <v>Tháng 7</v>
      </c>
      <c r="D372" t="s">
        <v>49</v>
      </c>
      <c r="E372" t="s">
        <v>50</v>
      </c>
      <c r="F372" t="s">
        <v>17</v>
      </c>
      <c r="G372" t="s">
        <v>78</v>
      </c>
      <c r="H372" t="s">
        <v>406</v>
      </c>
      <c r="I372" s="2">
        <v>68.2</v>
      </c>
      <c r="J372" s="2">
        <v>71.5</v>
      </c>
      <c r="K372" s="3">
        <f>BanHang[[#This Row],[Diện tích (m²)]]*BanHang[[#This Row],[Đơn giá (trđ/m²)]]</f>
        <v>4876.3</v>
      </c>
      <c r="L372" s="4">
        <v>0.03</v>
      </c>
      <c r="M372" t="s">
        <v>27</v>
      </c>
      <c r="N372" s="3">
        <f>IF(BanHang[[#This Row],[Trạng thái]]="Huỷ cọc",0,BanHang[[#This Row],[Giá trị hợp đồng (trđ)]]*(1-BanHang[[#This Row],[Chiết khấu (%)]]))</f>
        <v>4730.0110000000004</v>
      </c>
    </row>
    <row r="373" spans="1:14" x14ac:dyDescent="0.3">
      <c r="A373" t="s">
        <v>426</v>
      </c>
      <c r="B373" s="1">
        <v>46221.604166666672</v>
      </c>
      <c r="C373" t="str">
        <f>"Tháng "&amp;MONTH(BanHang[[#This Row],[Ngày giờ bán]])</f>
        <v>Tháng 7</v>
      </c>
      <c r="D373" t="s">
        <v>225</v>
      </c>
      <c r="E373" t="s">
        <v>180</v>
      </c>
      <c r="F373" t="s">
        <v>17</v>
      </c>
      <c r="G373" t="s">
        <v>108</v>
      </c>
      <c r="H373" t="s">
        <v>19</v>
      </c>
      <c r="I373" s="2">
        <v>211.9</v>
      </c>
      <c r="J373" s="2">
        <v>25.3</v>
      </c>
      <c r="K373" s="3">
        <f>BanHang[[#This Row],[Diện tích (m²)]]*BanHang[[#This Row],[Đơn giá (trđ/m²)]]</f>
        <v>5361.0700000000006</v>
      </c>
      <c r="L373" s="4">
        <v>0.02</v>
      </c>
      <c r="M373" t="s">
        <v>53</v>
      </c>
      <c r="N373" s="3">
        <f>IF(BanHang[[#This Row],[Trạng thái]]="Huỷ cọc",0,BanHang[[#This Row],[Giá trị hợp đồng (trđ)]]*(1-BanHang[[#This Row],[Chiết khấu (%)]]))</f>
        <v>5253.8486000000003</v>
      </c>
    </row>
    <row r="374" spans="1:14" x14ac:dyDescent="0.3">
      <c r="A374" t="s">
        <v>427</v>
      </c>
      <c r="B374" s="1">
        <v>46221.645833333336</v>
      </c>
      <c r="C374" t="str">
        <f>"Tháng "&amp;MONTH(BanHang[[#This Row],[Ngày giờ bán]])</f>
        <v>Tháng 7</v>
      </c>
      <c r="D374" t="s">
        <v>225</v>
      </c>
      <c r="E374" t="s">
        <v>180</v>
      </c>
      <c r="F374" t="s">
        <v>24</v>
      </c>
      <c r="G374" t="s">
        <v>18</v>
      </c>
      <c r="H374" t="s">
        <v>26</v>
      </c>
      <c r="I374" s="2">
        <v>80.5</v>
      </c>
      <c r="J374" s="2">
        <v>49.4</v>
      </c>
      <c r="K374" s="3">
        <f>BanHang[[#This Row],[Diện tích (m²)]]*BanHang[[#This Row],[Đơn giá (trđ/m²)]]</f>
        <v>3976.7</v>
      </c>
      <c r="L374" s="4">
        <v>0.02</v>
      </c>
      <c r="M374" t="s">
        <v>53</v>
      </c>
      <c r="N374" s="3">
        <f>IF(BanHang[[#This Row],[Trạng thái]]="Huỷ cọc",0,BanHang[[#This Row],[Giá trị hợp đồng (trđ)]]*(1-BanHang[[#This Row],[Chiết khấu (%)]]))</f>
        <v>3897.1659999999997</v>
      </c>
    </row>
    <row r="375" spans="1:14" x14ac:dyDescent="0.3">
      <c r="A375" t="s">
        <v>428</v>
      </c>
      <c r="B375" s="1">
        <v>46221.739583333336</v>
      </c>
      <c r="C375" t="str">
        <f>"Tháng "&amp;MONTH(BanHang[[#This Row],[Ngày giờ bán]])</f>
        <v>Tháng 7</v>
      </c>
      <c r="D375" t="s">
        <v>111</v>
      </c>
      <c r="E375" t="s">
        <v>50</v>
      </c>
      <c r="F375" t="s">
        <v>156</v>
      </c>
      <c r="G375" t="s">
        <v>51</v>
      </c>
      <c r="H375" t="s">
        <v>26</v>
      </c>
      <c r="I375" s="2">
        <v>89.9</v>
      </c>
      <c r="J375" s="2">
        <v>65.3</v>
      </c>
      <c r="K375" s="3">
        <f>BanHang[[#This Row],[Diện tích (m²)]]*BanHang[[#This Row],[Đơn giá (trđ/m²)]]</f>
        <v>5870.47</v>
      </c>
      <c r="L375" s="4">
        <v>0.01</v>
      </c>
      <c r="M375" t="s">
        <v>27</v>
      </c>
      <c r="N375" s="3">
        <f>IF(BanHang[[#This Row],[Trạng thái]]="Huỷ cọc",0,BanHang[[#This Row],[Giá trị hợp đồng (trđ)]]*(1-BanHang[[#This Row],[Chiết khấu (%)]]))</f>
        <v>5811.7653</v>
      </c>
    </row>
    <row r="376" spans="1:14" x14ac:dyDescent="0.3">
      <c r="A376" t="s">
        <v>429</v>
      </c>
      <c r="B376" s="1">
        <v>46222.479166666672</v>
      </c>
      <c r="C376" t="str">
        <f>"Tháng "&amp;MONTH(BanHang[[#This Row],[Ngày giờ bán]])</f>
        <v>Tháng 7</v>
      </c>
      <c r="D376" t="s">
        <v>22</v>
      </c>
      <c r="E376" t="s">
        <v>23</v>
      </c>
      <c r="F376" t="s">
        <v>103</v>
      </c>
      <c r="G376" t="s">
        <v>51</v>
      </c>
      <c r="H376" t="s">
        <v>52</v>
      </c>
      <c r="I376" s="2">
        <v>99.1</v>
      </c>
      <c r="J376" s="2">
        <v>104.3</v>
      </c>
      <c r="K376" s="3">
        <f>BanHang[[#This Row],[Diện tích (m²)]]*BanHang[[#This Row],[Đơn giá (trđ/m²)]]</f>
        <v>10336.129999999999</v>
      </c>
      <c r="L376" s="4">
        <v>0.01</v>
      </c>
      <c r="M376" t="s">
        <v>27</v>
      </c>
      <c r="N376" s="3">
        <f>IF(BanHang[[#This Row],[Trạng thái]]="Huỷ cọc",0,BanHang[[#This Row],[Giá trị hợp đồng (trđ)]]*(1-BanHang[[#This Row],[Chiết khấu (%)]]))</f>
        <v>10232.768699999999</v>
      </c>
    </row>
    <row r="377" spans="1:14" x14ac:dyDescent="0.3">
      <c r="A377" t="s">
        <v>430</v>
      </c>
      <c r="B377" s="1">
        <v>46222.583333333336</v>
      </c>
      <c r="C377" t="str">
        <f>"Tháng "&amp;MONTH(BanHang[[#This Row],[Ngày giờ bán]])</f>
        <v>Tháng 7</v>
      </c>
      <c r="D377" t="s">
        <v>477</v>
      </c>
      <c r="E377" t="s">
        <v>106</v>
      </c>
      <c r="F377" t="s">
        <v>24</v>
      </c>
      <c r="G377" t="s">
        <v>78</v>
      </c>
      <c r="H377" t="s">
        <v>52</v>
      </c>
      <c r="I377" s="2">
        <v>161.6</v>
      </c>
      <c r="J377" s="2">
        <v>142.1</v>
      </c>
      <c r="K377" s="3">
        <f>BanHang[[#This Row],[Diện tích (m²)]]*BanHang[[#This Row],[Đơn giá (trđ/m²)]]</f>
        <v>22963.359999999997</v>
      </c>
      <c r="L377" s="4">
        <v>0.03</v>
      </c>
      <c r="M377" t="s">
        <v>53</v>
      </c>
      <c r="N377" s="3">
        <f>IF(BanHang[[#This Row],[Trạng thái]]="Huỷ cọc",0,BanHang[[#This Row],[Giá trị hợp đồng (trđ)]]*(1-BanHang[[#This Row],[Chiết khấu (%)]]))</f>
        <v>22274.459199999998</v>
      </c>
    </row>
    <row r="378" spans="1:14" x14ac:dyDescent="0.3">
      <c r="A378" t="s">
        <v>431</v>
      </c>
      <c r="B378" s="1">
        <v>46222.614583333336</v>
      </c>
      <c r="C378" t="str">
        <f>"Tháng "&amp;MONTH(BanHang[[#This Row],[Ngày giờ bán]])</f>
        <v>Tháng 7</v>
      </c>
      <c r="D378" t="s">
        <v>478</v>
      </c>
      <c r="E378" t="s">
        <v>384</v>
      </c>
      <c r="F378" t="s">
        <v>17</v>
      </c>
      <c r="G378" t="s">
        <v>51</v>
      </c>
      <c r="H378" t="s">
        <v>19</v>
      </c>
      <c r="I378" s="2">
        <v>44.8</v>
      </c>
      <c r="J378" s="2">
        <v>57.3</v>
      </c>
      <c r="K378" s="3">
        <f>BanHang[[#This Row],[Diện tích (m²)]]*BanHang[[#This Row],[Đơn giá (trđ/m²)]]</f>
        <v>2567.0399999999995</v>
      </c>
      <c r="L378" s="4">
        <v>0.03</v>
      </c>
      <c r="M378" t="s">
        <v>53</v>
      </c>
      <c r="N378" s="3">
        <f>IF(BanHang[[#This Row],[Trạng thái]]="Huỷ cọc",0,BanHang[[#This Row],[Giá trị hợp đồng (trđ)]]*(1-BanHang[[#This Row],[Chiết khấu (%)]]))</f>
        <v>2490.0287999999996</v>
      </c>
    </row>
    <row r="379" spans="1:14" x14ac:dyDescent="0.3">
      <c r="A379" t="s">
        <v>432</v>
      </c>
      <c r="B379" s="1">
        <v>46222.697916666664</v>
      </c>
      <c r="C379" t="str">
        <f>"Tháng "&amp;MONTH(BanHang[[#This Row],[Ngày giờ bán]])</f>
        <v>Tháng 7</v>
      </c>
      <c r="D379" t="s">
        <v>249</v>
      </c>
      <c r="E379" t="s">
        <v>16</v>
      </c>
      <c r="F379" t="s">
        <v>77</v>
      </c>
      <c r="G379" t="s">
        <v>18</v>
      </c>
      <c r="H379" t="s">
        <v>157</v>
      </c>
      <c r="I379" s="2">
        <v>375.5</v>
      </c>
      <c r="J379" s="2">
        <v>156</v>
      </c>
      <c r="K379" s="3">
        <f>BanHang[[#This Row],[Diện tích (m²)]]*BanHang[[#This Row],[Đơn giá (trđ/m²)]]</f>
        <v>58578</v>
      </c>
      <c r="L379" s="4">
        <v>0.05</v>
      </c>
      <c r="M379" t="s">
        <v>20</v>
      </c>
      <c r="N379" s="3">
        <f>IF(BanHang[[#This Row],[Trạng thái]]="Huỷ cọc",0,BanHang[[#This Row],[Giá trị hợp đồng (trđ)]]*(1-BanHang[[#This Row],[Chiết khấu (%)]]))</f>
        <v>0</v>
      </c>
    </row>
    <row r="380" spans="1:14" x14ac:dyDescent="0.3">
      <c r="A380" t="s">
        <v>433</v>
      </c>
      <c r="B380" s="1">
        <v>46222.8125</v>
      </c>
      <c r="C380" t="str">
        <f>"Tháng "&amp;MONTH(BanHang[[#This Row],[Ngày giờ bán]])</f>
        <v>Tháng 7</v>
      </c>
      <c r="D380" t="s">
        <v>249</v>
      </c>
      <c r="E380" t="s">
        <v>16</v>
      </c>
      <c r="F380" t="s">
        <v>156</v>
      </c>
      <c r="G380" t="s">
        <v>25</v>
      </c>
      <c r="H380" t="s">
        <v>476</v>
      </c>
      <c r="I380" s="2">
        <v>270.10000000000002</v>
      </c>
      <c r="J380" s="2">
        <v>118.2</v>
      </c>
      <c r="K380" s="3">
        <f>BanHang[[#This Row],[Diện tích (m²)]]*BanHang[[#This Row],[Đơn giá (trđ/m²)]]</f>
        <v>31925.820000000003</v>
      </c>
      <c r="L380" s="4">
        <v>0.01</v>
      </c>
      <c r="M380" t="s">
        <v>27</v>
      </c>
      <c r="N380" s="3">
        <f>IF(BanHang[[#This Row],[Trạng thái]]="Huỷ cọc",0,BanHang[[#This Row],[Giá trị hợp đồng (trđ)]]*(1-BanHang[[#This Row],[Chiết khấu (%)]]))</f>
        <v>31606.561800000003</v>
      </c>
    </row>
    <row r="381" spans="1:14" x14ac:dyDescent="0.3">
      <c r="A381" t="s">
        <v>434</v>
      </c>
      <c r="B381" s="1">
        <v>46223.34375</v>
      </c>
      <c r="C381" t="str">
        <f>"Tháng "&amp;MONTH(BanHang[[#This Row],[Ngày giờ bán]])</f>
        <v>Tháng 7</v>
      </c>
      <c r="D381" t="s">
        <v>105</v>
      </c>
      <c r="E381" t="s">
        <v>23</v>
      </c>
      <c r="F381" t="s">
        <v>156</v>
      </c>
      <c r="G381" t="s">
        <v>108</v>
      </c>
      <c r="H381" t="s">
        <v>406</v>
      </c>
      <c r="I381" s="2">
        <v>121.5</v>
      </c>
      <c r="J381" s="2">
        <v>125.8</v>
      </c>
      <c r="K381" s="3">
        <f>BanHang[[#This Row],[Diện tích (m²)]]*BanHang[[#This Row],[Đơn giá (trđ/m²)]]</f>
        <v>15284.699999999999</v>
      </c>
      <c r="L381" s="4">
        <v>0.02</v>
      </c>
      <c r="M381" t="s">
        <v>53</v>
      </c>
      <c r="N381" s="3">
        <f>IF(BanHang[[#This Row],[Trạng thái]]="Huỷ cọc",0,BanHang[[#This Row],[Giá trị hợp đồng (trđ)]]*(1-BanHang[[#This Row],[Chiết khấu (%)]]))</f>
        <v>14979.005999999999</v>
      </c>
    </row>
    <row r="382" spans="1:14" x14ac:dyDescent="0.3">
      <c r="A382" t="s">
        <v>435</v>
      </c>
      <c r="B382" s="1">
        <v>46223.510416666664</v>
      </c>
      <c r="C382" t="str">
        <f>"Tháng "&amp;MONTH(BanHang[[#This Row],[Ngày giờ bán]])</f>
        <v>Tháng 7</v>
      </c>
      <c r="D382" t="s">
        <v>179</v>
      </c>
      <c r="E382" t="s">
        <v>180</v>
      </c>
      <c r="F382" t="s">
        <v>24</v>
      </c>
      <c r="G382" t="s">
        <v>108</v>
      </c>
      <c r="H382" t="s">
        <v>79</v>
      </c>
      <c r="I382" s="2">
        <v>160</v>
      </c>
      <c r="J382" s="2">
        <v>57.1</v>
      </c>
      <c r="K382" s="3">
        <f>BanHang[[#This Row],[Diện tích (m²)]]*BanHang[[#This Row],[Đơn giá (trđ/m²)]]</f>
        <v>9136</v>
      </c>
      <c r="L382" s="4">
        <v>0.03</v>
      </c>
      <c r="M382" t="s">
        <v>27</v>
      </c>
      <c r="N382" s="3">
        <f>IF(BanHang[[#This Row],[Trạng thái]]="Huỷ cọc",0,BanHang[[#This Row],[Giá trị hợp đồng (trđ)]]*(1-BanHang[[#This Row],[Chiết khấu (%)]]))</f>
        <v>8861.92</v>
      </c>
    </row>
    <row r="383" spans="1:14" x14ac:dyDescent="0.3">
      <c r="A383" t="s">
        <v>436</v>
      </c>
      <c r="B383" s="1">
        <v>46223.625</v>
      </c>
      <c r="C383" t="str">
        <f>"Tháng "&amp;MONTH(BanHang[[#This Row],[Ngày giờ bán]])</f>
        <v>Tháng 7</v>
      </c>
      <c r="D383" t="s">
        <v>454</v>
      </c>
      <c r="E383" t="s">
        <v>106</v>
      </c>
      <c r="F383" t="s">
        <v>107</v>
      </c>
      <c r="G383" t="s">
        <v>18</v>
      </c>
      <c r="H383" t="s">
        <v>52</v>
      </c>
      <c r="I383" s="2">
        <v>150.5</v>
      </c>
      <c r="J383" s="2">
        <v>176.7</v>
      </c>
      <c r="K383" s="3">
        <f>BanHang[[#This Row],[Diện tích (m²)]]*BanHang[[#This Row],[Đơn giá (trđ/m²)]]</f>
        <v>26593.35</v>
      </c>
      <c r="L383" s="4">
        <v>7.0000000000000007E-2</v>
      </c>
      <c r="M383" t="s">
        <v>27</v>
      </c>
      <c r="N383" s="3">
        <f>IF(BanHang[[#This Row],[Trạng thái]]="Huỷ cọc",0,BanHang[[#This Row],[Giá trị hợp đồng (trđ)]]*(1-BanHang[[#This Row],[Chiết khấu (%)]]))</f>
        <v>24731.815499999997</v>
      </c>
    </row>
    <row r="384" spans="1:14" x14ac:dyDescent="0.3">
      <c r="A384" t="s">
        <v>437</v>
      </c>
      <c r="B384" s="1">
        <v>46224.6875</v>
      </c>
      <c r="C384" t="str">
        <f>"Tháng "&amp;MONTH(BanHang[[#This Row],[Ngày giờ bán]])</f>
        <v>Tháng 7</v>
      </c>
      <c r="D384" t="s">
        <v>101</v>
      </c>
      <c r="E384" t="s">
        <v>50</v>
      </c>
      <c r="F384" t="s">
        <v>103</v>
      </c>
      <c r="G384" t="s">
        <v>78</v>
      </c>
      <c r="H384" t="s">
        <v>79</v>
      </c>
      <c r="I384" s="2">
        <v>58.2</v>
      </c>
      <c r="J384" s="2">
        <v>51.6</v>
      </c>
      <c r="K384" s="3">
        <f>BanHang[[#This Row],[Diện tích (m²)]]*BanHang[[#This Row],[Đơn giá (trđ/m²)]]</f>
        <v>3003.1200000000003</v>
      </c>
      <c r="L384" s="4">
        <v>0.05</v>
      </c>
      <c r="M384" t="s">
        <v>20</v>
      </c>
      <c r="N384" s="3">
        <f>IF(BanHang[[#This Row],[Trạng thái]]="Huỷ cọc",0,BanHang[[#This Row],[Giá trị hợp đồng (trđ)]]*(1-BanHang[[#This Row],[Chiết khấu (%)]]))</f>
        <v>0</v>
      </c>
    </row>
    <row r="385" spans="1:14" x14ac:dyDescent="0.3">
      <c r="A385" t="s">
        <v>438</v>
      </c>
      <c r="B385" s="1">
        <v>46224.760416666664</v>
      </c>
      <c r="C385" t="str">
        <f>"Tháng "&amp;MONTH(BanHang[[#This Row],[Ngày giờ bán]])</f>
        <v>Tháng 7</v>
      </c>
      <c r="D385" t="s">
        <v>76</v>
      </c>
      <c r="E385" t="s">
        <v>50</v>
      </c>
      <c r="F385" t="s">
        <v>107</v>
      </c>
      <c r="G385" t="s">
        <v>108</v>
      </c>
      <c r="H385" t="s">
        <v>19</v>
      </c>
      <c r="I385" s="2">
        <v>77.900000000000006</v>
      </c>
      <c r="J385" s="2">
        <v>57.2</v>
      </c>
      <c r="K385" s="3">
        <f>BanHang[[#This Row],[Diện tích (m²)]]*BanHang[[#This Row],[Đơn giá (trđ/m²)]]</f>
        <v>4455.88</v>
      </c>
      <c r="L385" s="4">
        <v>0.03</v>
      </c>
      <c r="M385" t="s">
        <v>53</v>
      </c>
      <c r="N385" s="3">
        <f>IF(BanHang[[#This Row],[Trạng thái]]="Huỷ cọc",0,BanHang[[#This Row],[Giá trị hợp đồng (trđ)]]*(1-BanHang[[#This Row],[Chiết khấu (%)]]))</f>
        <v>4322.2035999999998</v>
      </c>
    </row>
    <row r="386" spans="1:14" x14ac:dyDescent="0.3">
      <c r="A386" t="s">
        <v>439</v>
      </c>
      <c r="B386" s="1">
        <v>46224.802083333328</v>
      </c>
      <c r="C386" t="str">
        <f>"Tháng "&amp;MONTH(BanHang[[#This Row],[Ngày giờ bán]])</f>
        <v>Tháng 7</v>
      </c>
      <c r="D386" t="s">
        <v>49</v>
      </c>
      <c r="E386" t="s">
        <v>50</v>
      </c>
      <c r="F386" t="s">
        <v>77</v>
      </c>
      <c r="G386" t="s">
        <v>51</v>
      </c>
      <c r="H386" t="s">
        <v>52</v>
      </c>
      <c r="I386" s="2">
        <v>84</v>
      </c>
      <c r="J386" s="2">
        <v>73.8</v>
      </c>
      <c r="K386" s="3">
        <f>BanHang[[#This Row],[Diện tích (m²)]]*BanHang[[#This Row],[Đơn giá (trđ/m²)]]</f>
        <v>6199.2</v>
      </c>
      <c r="L386" s="4">
        <v>0.05</v>
      </c>
      <c r="M386" t="s">
        <v>53</v>
      </c>
      <c r="N386" s="3">
        <f>IF(BanHang[[#This Row],[Trạng thái]]="Huỷ cọc",0,BanHang[[#This Row],[Giá trị hợp đồng (trđ)]]*(1-BanHang[[#This Row],[Chiết khấu (%)]]))</f>
        <v>5889.24</v>
      </c>
    </row>
    <row r="387" spans="1:14" x14ac:dyDescent="0.3">
      <c r="A387" t="s">
        <v>440</v>
      </c>
      <c r="B387" s="1">
        <v>46225.520833333336</v>
      </c>
      <c r="C387" t="str">
        <f>"Tháng "&amp;MONTH(BanHang[[#This Row],[Ngày giờ bán]])</f>
        <v>Tháng 7</v>
      </c>
      <c r="D387" t="s">
        <v>477</v>
      </c>
      <c r="E387" t="s">
        <v>106</v>
      </c>
      <c r="F387" t="s">
        <v>77</v>
      </c>
      <c r="G387" t="s">
        <v>51</v>
      </c>
      <c r="H387" t="s">
        <v>226</v>
      </c>
      <c r="I387" s="2">
        <v>111.5</v>
      </c>
      <c r="J387" s="2">
        <v>162.69999999999999</v>
      </c>
      <c r="K387" s="3">
        <f>BanHang[[#This Row],[Diện tích (m²)]]*BanHang[[#This Row],[Đơn giá (trđ/m²)]]</f>
        <v>18141.05</v>
      </c>
      <c r="L387" s="4">
        <v>0.03</v>
      </c>
      <c r="M387" t="s">
        <v>53</v>
      </c>
      <c r="N387" s="3">
        <f>IF(BanHang[[#This Row],[Trạng thái]]="Huỷ cọc",0,BanHang[[#This Row],[Giá trị hợp đồng (trđ)]]*(1-BanHang[[#This Row],[Chiết khấu (%)]]))</f>
        <v>17596.818499999998</v>
      </c>
    </row>
    <row r="388" spans="1:14" x14ac:dyDescent="0.3">
      <c r="A388" t="s">
        <v>441</v>
      </c>
      <c r="B388" s="1">
        <v>46227.572916666664</v>
      </c>
      <c r="C388" t="str">
        <f>"Tháng "&amp;MONTH(BanHang[[#This Row],[Ngày giờ bán]])</f>
        <v>Tháng 7</v>
      </c>
      <c r="D388" t="s">
        <v>225</v>
      </c>
      <c r="E388" t="s">
        <v>180</v>
      </c>
      <c r="F388" t="s">
        <v>24</v>
      </c>
      <c r="G388" t="s">
        <v>18</v>
      </c>
      <c r="H388" t="s">
        <v>52</v>
      </c>
      <c r="I388" s="2">
        <v>216.3</v>
      </c>
      <c r="J388" s="2">
        <v>35.1</v>
      </c>
      <c r="K388" s="3">
        <f>BanHang[[#This Row],[Diện tích (m²)]]*BanHang[[#This Row],[Đơn giá (trđ/m²)]]</f>
        <v>7592.130000000001</v>
      </c>
      <c r="L388" s="4">
        <v>0.03</v>
      </c>
      <c r="M388" t="s">
        <v>53</v>
      </c>
      <c r="N388" s="3">
        <f>IF(BanHang[[#This Row],[Trạng thái]]="Huỷ cọc",0,BanHang[[#This Row],[Giá trị hợp đồng (trđ)]]*(1-BanHang[[#This Row],[Chiết khấu (%)]]))</f>
        <v>7364.3661000000011</v>
      </c>
    </row>
    <row r="389" spans="1:14" x14ac:dyDescent="0.3">
      <c r="A389" t="s">
        <v>442</v>
      </c>
      <c r="B389" s="1">
        <v>46227.739583333336</v>
      </c>
      <c r="C389" t="str">
        <f>"Tháng "&amp;MONTH(BanHang[[#This Row],[Ngày giờ bán]])</f>
        <v>Tháng 7</v>
      </c>
      <c r="D389" t="s">
        <v>101</v>
      </c>
      <c r="E389" t="s">
        <v>50</v>
      </c>
      <c r="F389" t="s">
        <v>77</v>
      </c>
      <c r="G389" t="s">
        <v>78</v>
      </c>
      <c r="H389" t="s">
        <v>476</v>
      </c>
      <c r="I389" s="2">
        <v>60.8</v>
      </c>
      <c r="J389" s="2">
        <v>66.5</v>
      </c>
      <c r="K389" s="3">
        <f>BanHang[[#This Row],[Diện tích (m²)]]*BanHang[[#This Row],[Đơn giá (trđ/m²)]]</f>
        <v>4043.2</v>
      </c>
      <c r="L389" s="4">
        <v>0.03</v>
      </c>
      <c r="M389" t="s">
        <v>53</v>
      </c>
      <c r="N389" s="3">
        <f>IF(BanHang[[#This Row],[Trạng thái]]="Huỷ cọc",0,BanHang[[#This Row],[Giá trị hợp đồng (trđ)]]*(1-BanHang[[#This Row],[Chiết khấu (%)]]))</f>
        <v>3921.9039999999995</v>
      </c>
    </row>
    <row r="390" spans="1:14" x14ac:dyDescent="0.3">
      <c r="A390" t="s">
        <v>443</v>
      </c>
      <c r="B390" s="1">
        <v>46228.708333333336</v>
      </c>
      <c r="C390" t="str">
        <f>"Tháng "&amp;MONTH(BanHang[[#This Row],[Ngày giờ bán]])</f>
        <v>Tháng 7</v>
      </c>
      <c r="D390" t="s">
        <v>383</v>
      </c>
      <c r="E390" t="s">
        <v>384</v>
      </c>
      <c r="F390" t="s">
        <v>24</v>
      </c>
      <c r="G390" t="s">
        <v>18</v>
      </c>
      <c r="H390" t="s">
        <v>134</v>
      </c>
      <c r="I390" s="2">
        <v>70.099999999999994</v>
      </c>
      <c r="J390" s="2">
        <v>65.900000000000006</v>
      </c>
      <c r="K390" s="3">
        <f>BanHang[[#This Row],[Diện tích (m²)]]*BanHang[[#This Row],[Đơn giá (trđ/m²)]]</f>
        <v>4619.59</v>
      </c>
      <c r="L390" s="4">
        <v>0</v>
      </c>
      <c r="M390" t="s">
        <v>53</v>
      </c>
      <c r="N390" s="3">
        <f>IF(BanHang[[#This Row],[Trạng thái]]="Huỷ cọc",0,BanHang[[#This Row],[Giá trị hợp đồng (trđ)]]*(1-BanHang[[#This Row],[Chiết khấu (%)]]))</f>
        <v>4619.59</v>
      </c>
    </row>
    <row r="391" spans="1:14" x14ac:dyDescent="0.3">
      <c r="A391" t="s">
        <v>444</v>
      </c>
      <c r="B391" s="1">
        <v>46228.78125</v>
      </c>
      <c r="C391" t="str">
        <f>"Tháng "&amp;MONTH(BanHang[[#This Row],[Ngày giờ bán]])</f>
        <v>Tháng 7</v>
      </c>
      <c r="D391" t="s">
        <v>383</v>
      </c>
      <c r="E391" t="s">
        <v>384</v>
      </c>
      <c r="F391" t="s">
        <v>17</v>
      </c>
      <c r="G391" t="s">
        <v>51</v>
      </c>
      <c r="H391" t="s">
        <v>52</v>
      </c>
      <c r="I391" s="2">
        <v>74</v>
      </c>
      <c r="J391" s="2">
        <v>74</v>
      </c>
      <c r="K391" s="3">
        <f>BanHang[[#This Row],[Diện tích (m²)]]*BanHang[[#This Row],[Đơn giá (trđ/m²)]]</f>
        <v>5476</v>
      </c>
      <c r="L391" s="4">
        <v>0.08</v>
      </c>
      <c r="M391" t="s">
        <v>53</v>
      </c>
      <c r="N391" s="3">
        <f>IF(BanHang[[#This Row],[Trạng thái]]="Huỷ cọc",0,BanHang[[#This Row],[Giá trị hợp đồng (trđ)]]*(1-BanHang[[#This Row],[Chiết khấu (%)]]))</f>
        <v>5037.92</v>
      </c>
    </row>
    <row r="392" spans="1:14" x14ac:dyDescent="0.3">
      <c r="A392" t="s">
        <v>445</v>
      </c>
      <c r="B392" s="1">
        <v>46228.802083333328</v>
      </c>
      <c r="C392" t="str">
        <f>"Tháng "&amp;MONTH(BanHang[[#This Row],[Ngày giờ bán]])</f>
        <v>Tháng 7</v>
      </c>
      <c r="D392" t="s">
        <v>454</v>
      </c>
      <c r="E392" t="s">
        <v>106</v>
      </c>
      <c r="F392" t="s">
        <v>24</v>
      </c>
      <c r="G392" t="s">
        <v>18</v>
      </c>
      <c r="H392" t="s">
        <v>157</v>
      </c>
      <c r="I392" s="2">
        <v>110.5</v>
      </c>
      <c r="J392" s="2">
        <v>160.69999999999999</v>
      </c>
      <c r="K392" s="3">
        <f>BanHang[[#This Row],[Diện tích (m²)]]*BanHang[[#This Row],[Đơn giá (trđ/m²)]]</f>
        <v>17757.349999999999</v>
      </c>
      <c r="L392" s="4">
        <v>7.0000000000000007E-2</v>
      </c>
      <c r="M392" t="s">
        <v>20</v>
      </c>
      <c r="N392" s="3">
        <f>IF(BanHang[[#This Row],[Trạng thái]]="Huỷ cọc",0,BanHang[[#This Row],[Giá trị hợp đồng (trđ)]]*(1-BanHang[[#This Row],[Chiết khấu (%)]]))</f>
        <v>0</v>
      </c>
    </row>
    <row r="393" spans="1:14" x14ac:dyDescent="0.3">
      <c r="A393" t="s">
        <v>446</v>
      </c>
      <c r="B393" s="1">
        <v>46228.822916666664</v>
      </c>
      <c r="C393" t="str">
        <f>"Tháng "&amp;MONTH(BanHang[[#This Row],[Ngày giờ bán]])</f>
        <v>Tháng 7</v>
      </c>
      <c r="D393" t="s">
        <v>101</v>
      </c>
      <c r="E393" t="s">
        <v>50</v>
      </c>
      <c r="F393" t="s">
        <v>77</v>
      </c>
      <c r="G393" t="s">
        <v>25</v>
      </c>
      <c r="H393" t="s">
        <v>226</v>
      </c>
      <c r="I393" s="2">
        <v>64.8</v>
      </c>
      <c r="J393" s="2">
        <v>73</v>
      </c>
      <c r="K393" s="3">
        <f>BanHang[[#This Row],[Diện tích (m²)]]*BanHang[[#This Row],[Đơn giá (trđ/m²)]]</f>
        <v>4730.3999999999996</v>
      </c>
      <c r="L393" s="4">
        <v>0</v>
      </c>
      <c r="M393" t="s">
        <v>53</v>
      </c>
      <c r="N393" s="3">
        <f>IF(BanHang[[#This Row],[Trạng thái]]="Huỷ cọc",0,BanHang[[#This Row],[Giá trị hợp đồng (trđ)]]*(1-BanHang[[#This Row],[Chiết khấu (%)]]))</f>
        <v>4730.3999999999996</v>
      </c>
    </row>
    <row r="394" spans="1:14" x14ac:dyDescent="0.3">
      <c r="A394" t="s">
        <v>447</v>
      </c>
      <c r="B394" s="1">
        <v>46229.40625</v>
      </c>
      <c r="C394" t="str">
        <f>"Tháng "&amp;MONTH(BanHang[[#This Row],[Ngày giờ bán]])</f>
        <v>Tháng 7</v>
      </c>
      <c r="D394" t="s">
        <v>454</v>
      </c>
      <c r="E394" t="s">
        <v>106</v>
      </c>
      <c r="F394" t="s">
        <v>17</v>
      </c>
      <c r="G394" t="s">
        <v>108</v>
      </c>
      <c r="H394" t="s">
        <v>476</v>
      </c>
      <c r="I394" s="2">
        <v>176.5</v>
      </c>
      <c r="J394" s="2">
        <v>141.5</v>
      </c>
      <c r="K394" s="3">
        <f>BanHang[[#This Row],[Diện tích (m²)]]*BanHang[[#This Row],[Đơn giá (trđ/m²)]]</f>
        <v>24974.75</v>
      </c>
      <c r="L394" s="4">
        <v>0.02</v>
      </c>
      <c r="M394" t="s">
        <v>53</v>
      </c>
      <c r="N394" s="3">
        <f>IF(BanHang[[#This Row],[Trạng thái]]="Huỷ cọc",0,BanHang[[#This Row],[Giá trị hợp đồng (trđ)]]*(1-BanHang[[#This Row],[Chiết khấu (%)]]))</f>
        <v>24475.255000000001</v>
      </c>
    </row>
    <row r="395" spans="1:14" x14ac:dyDescent="0.3">
      <c r="A395" t="s">
        <v>448</v>
      </c>
      <c r="B395" s="1">
        <v>46229.572916666664</v>
      </c>
      <c r="C395" t="str">
        <f>"Tháng "&amp;MONTH(BanHang[[#This Row],[Ngày giờ bán]])</f>
        <v>Tháng 7</v>
      </c>
      <c r="D395" t="s">
        <v>76</v>
      </c>
      <c r="E395" t="s">
        <v>50</v>
      </c>
      <c r="F395" t="s">
        <v>103</v>
      </c>
      <c r="G395" t="s">
        <v>78</v>
      </c>
      <c r="H395" t="s">
        <v>226</v>
      </c>
      <c r="I395" s="2">
        <v>85.1</v>
      </c>
      <c r="J395" s="2">
        <v>73.599999999999994</v>
      </c>
      <c r="K395" s="3">
        <f>BanHang[[#This Row],[Diện tích (m²)]]*BanHang[[#This Row],[Đơn giá (trđ/m²)]]</f>
        <v>6263.3599999999988</v>
      </c>
      <c r="L395" s="4">
        <v>0.03</v>
      </c>
      <c r="M395" t="s">
        <v>27</v>
      </c>
      <c r="N395" s="3">
        <f>IF(BanHang[[#This Row],[Trạng thái]]="Huỷ cọc",0,BanHang[[#This Row],[Giá trị hợp đồng (trđ)]]*(1-BanHang[[#This Row],[Chiết khấu (%)]]))</f>
        <v>6075.4591999999984</v>
      </c>
    </row>
    <row r="396" spans="1:14" x14ac:dyDescent="0.3">
      <c r="A396" t="s">
        <v>449</v>
      </c>
      <c r="B396" s="1">
        <v>46229.645833333336</v>
      </c>
      <c r="C396" t="str">
        <f>"Tháng "&amp;MONTH(BanHang[[#This Row],[Ngày giờ bán]])</f>
        <v>Tháng 7</v>
      </c>
      <c r="D396" t="s">
        <v>225</v>
      </c>
      <c r="E396" t="s">
        <v>180</v>
      </c>
      <c r="F396" t="s">
        <v>156</v>
      </c>
      <c r="G396" t="s">
        <v>51</v>
      </c>
      <c r="H396" t="s">
        <v>226</v>
      </c>
      <c r="I396" s="2">
        <v>213.7</v>
      </c>
      <c r="J396" s="2">
        <v>30.5</v>
      </c>
      <c r="K396" s="3">
        <f>BanHang[[#This Row],[Diện tích (m²)]]*BanHang[[#This Row],[Đơn giá (trđ/m²)]]</f>
        <v>6517.8499999999995</v>
      </c>
      <c r="L396" s="4">
        <v>0.03</v>
      </c>
      <c r="M396" t="s">
        <v>53</v>
      </c>
      <c r="N396" s="3">
        <f>IF(BanHang[[#This Row],[Trạng thái]]="Huỷ cọc",0,BanHang[[#This Row],[Giá trị hợp đồng (trđ)]]*(1-BanHang[[#This Row],[Chiết khấu (%)]]))</f>
        <v>6322.3144999999995</v>
      </c>
    </row>
    <row r="397" spans="1:14" x14ac:dyDescent="0.3">
      <c r="A397" t="s">
        <v>450</v>
      </c>
      <c r="B397" s="1">
        <v>46229.791666666664</v>
      </c>
      <c r="C397" t="str">
        <f>"Tháng "&amp;MONTH(BanHang[[#This Row],[Ngày giờ bán]])</f>
        <v>Tháng 7</v>
      </c>
      <c r="D397" t="s">
        <v>478</v>
      </c>
      <c r="E397" t="s">
        <v>384</v>
      </c>
      <c r="F397" t="s">
        <v>107</v>
      </c>
      <c r="G397" t="s">
        <v>51</v>
      </c>
      <c r="H397" t="s">
        <v>19</v>
      </c>
      <c r="I397" s="2">
        <v>47.9</v>
      </c>
      <c r="J397" s="2">
        <v>60.5</v>
      </c>
      <c r="K397" s="3">
        <f>BanHang[[#This Row],[Diện tích (m²)]]*BanHang[[#This Row],[Đơn giá (trđ/m²)]]</f>
        <v>2897.95</v>
      </c>
      <c r="L397" s="4">
        <v>0</v>
      </c>
      <c r="M397" t="s">
        <v>53</v>
      </c>
      <c r="N397" s="3">
        <f>IF(BanHang[[#This Row],[Trạng thái]]="Huỷ cọc",0,BanHang[[#This Row],[Giá trị hợp đồng (trđ)]]*(1-BanHang[[#This Row],[Chiết khấu (%)]]))</f>
        <v>2897.95</v>
      </c>
    </row>
    <row r="398" spans="1:14" x14ac:dyDescent="0.3">
      <c r="A398" t="s">
        <v>451</v>
      </c>
      <c r="B398" s="1">
        <v>46229.8125</v>
      </c>
      <c r="C398" t="str">
        <f>"Tháng "&amp;MONTH(BanHang[[#This Row],[Ngày giờ bán]])</f>
        <v>Tháng 7</v>
      </c>
      <c r="D398" t="s">
        <v>76</v>
      </c>
      <c r="E398" t="s">
        <v>50</v>
      </c>
      <c r="F398" t="s">
        <v>77</v>
      </c>
      <c r="G398" t="s">
        <v>108</v>
      </c>
      <c r="H398" t="s">
        <v>406</v>
      </c>
      <c r="I398" s="2">
        <v>64</v>
      </c>
      <c r="J398" s="2">
        <v>54.2</v>
      </c>
      <c r="K398" s="3">
        <f>BanHang[[#This Row],[Diện tích (m²)]]*BanHang[[#This Row],[Đơn giá (trđ/m²)]]</f>
        <v>3468.8</v>
      </c>
      <c r="L398" s="4">
        <v>0.05</v>
      </c>
      <c r="M398" t="s">
        <v>53</v>
      </c>
      <c r="N398" s="3">
        <f>IF(BanHang[[#This Row],[Trạng thái]]="Huỷ cọc",0,BanHang[[#This Row],[Giá trị hợp đồng (trđ)]]*(1-BanHang[[#This Row],[Chiết khấu (%)]]))</f>
        <v>3295.36</v>
      </c>
    </row>
    <row r="399" spans="1:14" x14ac:dyDescent="0.3">
      <c r="A399" t="s">
        <v>452</v>
      </c>
      <c r="B399" s="1">
        <v>46230.614583333336</v>
      </c>
      <c r="C399" t="str">
        <f>"Tháng "&amp;MONTH(BanHang[[#This Row],[Ngày giờ bán]])</f>
        <v>Tháng 7</v>
      </c>
      <c r="D399" t="s">
        <v>101</v>
      </c>
      <c r="E399" t="s">
        <v>50</v>
      </c>
      <c r="F399" t="s">
        <v>77</v>
      </c>
      <c r="G399" t="s">
        <v>51</v>
      </c>
      <c r="H399" t="s">
        <v>19</v>
      </c>
      <c r="I399" s="2">
        <v>58.4</v>
      </c>
      <c r="J399" s="2">
        <v>71.3</v>
      </c>
      <c r="K399" s="3">
        <f>BanHang[[#This Row],[Diện tích (m²)]]*BanHang[[#This Row],[Đơn giá (trđ/m²)]]</f>
        <v>4163.92</v>
      </c>
      <c r="L399" s="4">
        <v>0.05</v>
      </c>
      <c r="M399" t="s">
        <v>53</v>
      </c>
      <c r="N399" s="3">
        <f>IF(BanHang[[#This Row],[Trạng thái]]="Huỷ cọc",0,BanHang[[#This Row],[Giá trị hợp đồng (trđ)]]*(1-BanHang[[#This Row],[Chiết khấu (%)]]))</f>
        <v>3955.7239999999997</v>
      </c>
    </row>
    <row r="400" spans="1:14" x14ac:dyDescent="0.3">
      <c r="A400" t="s">
        <v>453</v>
      </c>
      <c r="B400" s="1">
        <v>46230.822916666664</v>
      </c>
      <c r="C400" t="str">
        <f>"Tháng "&amp;MONTH(BanHang[[#This Row],[Ngày giờ bán]])</f>
        <v>Tháng 7</v>
      </c>
      <c r="D400" t="s">
        <v>111</v>
      </c>
      <c r="E400" t="s">
        <v>50</v>
      </c>
      <c r="F400" t="s">
        <v>24</v>
      </c>
      <c r="G400" t="s">
        <v>108</v>
      </c>
      <c r="H400" t="s">
        <v>109</v>
      </c>
      <c r="I400" s="2">
        <v>61.3</v>
      </c>
      <c r="J400" s="2">
        <v>56.4</v>
      </c>
      <c r="K400" s="3">
        <f>BanHang[[#This Row],[Diện tích (m²)]]*BanHang[[#This Row],[Đơn giá (trđ/m²)]]</f>
        <v>3457.3199999999997</v>
      </c>
      <c r="L400" s="4">
        <v>7.0000000000000007E-2</v>
      </c>
      <c r="M400" t="s">
        <v>53</v>
      </c>
      <c r="N400" s="3">
        <f>IF(BanHang[[#This Row],[Trạng thái]]="Huỷ cọc",0,BanHang[[#This Row],[Giá trị hợp đồng (trđ)]]*(1-BanHang[[#This Row],[Chiết khấu (%)]]))</f>
        <v>3215.3075999999996</v>
      </c>
    </row>
    <row r="401" spans="1:14" x14ac:dyDescent="0.3">
      <c r="A401" t="s">
        <v>455</v>
      </c>
      <c r="B401" s="1">
        <v>46231.34375</v>
      </c>
      <c r="C401" t="str">
        <f>"Tháng "&amp;MONTH(BanHang[[#This Row],[Ngày giờ bán]])</f>
        <v>Tháng 7</v>
      </c>
      <c r="D401" t="s">
        <v>477</v>
      </c>
      <c r="E401" t="s">
        <v>106</v>
      </c>
      <c r="F401" t="s">
        <v>103</v>
      </c>
      <c r="G401" t="s">
        <v>108</v>
      </c>
      <c r="H401" t="s">
        <v>52</v>
      </c>
      <c r="I401" s="2">
        <v>155.5</v>
      </c>
      <c r="J401" s="2">
        <v>150.1</v>
      </c>
      <c r="K401" s="3">
        <f>BanHang[[#This Row],[Diện tích (m²)]]*BanHang[[#This Row],[Đơn giá (trđ/m²)]]</f>
        <v>23340.55</v>
      </c>
      <c r="L401" s="4">
        <v>0.05</v>
      </c>
      <c r="M401" t="s">
        <v>53</v>
      </c>
      <c r="N401" s="3">
        <f>IF(BanHang[[#This Row],[Trạng thái]]="Huỷ cọc",0,BanHang[[#This Row],[Giá trị hợp đồng (trđ)]]*(1-BanHang[[#This Row],[Chiết khấu (%)]]))</f>
        <v>22173.522499999999</v>
      </c>
    </row>
    <row r="402" spans="1:14" x14ac:dyDescent="0.3">
      <c r="A402" t="s">
        <v>456</v>
      </c>
      <c r="B402" s="1">
        <v>46231.354166666672</v>
      </c>
      <c r="C402" t="str">
        <f>"Tháng "&amp;MONTH(BanHang[[#This Row],[Ngày giờ bán]])</f>
        <v>Tháng 7</v>
      </c>
      <c r="D402" t="s">
        <v>101</v>
      </c>
      <c r="E402" t="s">
        <v>50</v>
      </c>
      <c r="F402" t="s">
        <v>77</v>
      </c>
      <c r="G402" t="s">
        <v>51</v>
      </c>
      <c r="H402" t="s">
        <v>26</v>
      </c>
      <c r="I402" s="2">
        <v>66.099999999999994</v>
      </c>
      <c r="J402" s="2">
        <v>50.6</v>
      </c>
      <c r="K402" s="3">
        <f>BanHang[[#This Row],[Diện tích (m²)]]*BanHang[[#This Row],[Đơn giá (trđ/m²)]]</f>
        <v>3344.66</v>
      </c>
      <c r="L402" s="4">
        <v>0.03</v>
      </c>
      <c r="M402" t="s">
        <v>27</v>
      </c>
      <c r="N402" s="3">
        <f>IF(BanHang[[#This Row],[Trạng thái]]="Huỷ cọc",0,BanHang[[#This Row],[Giá trị hợp đồng (trđ)]]*(1-BanHang[[#This Row],[Chiết khấu (%)]]))</f>
        <v>3244.3201999999997</v>
      </c>
    </row>
    <row r="403" spans="1:14" x14ac:dyDescent="0.3">
      <c r="A403" t="s">
        <v>457</v>
      </c>
      <c r="B403" s="1">
        <v>46231.5</v>
      </c>
      <c r="C403" t="str">
        <f>"Tháng "&amp;MONTH(BanHang[[#This Row],[Ngày giờ bán]])</f>
        <v>Tháng 7</v>
      </c>
      <c r="D403" t="s">
        <v>179</v>
      </c>
      <c r="E403" t="s">
        <v>180</v>
      </c>
      <c r="F403" t="s">
        <v>77</v>
      </c>
      <c r="G403" t="s">
        <v>18</v>
      </c>
      <c r="H403" t="s">
        <v>226</v>
      </c>
      <c r="I403" s="2">
        <v>101.9</v>
      </c>
      <c r="J403" s="2">
        <v>23.2</v>
      </c>
      <c r="K403" s="3">
        <f>BanHang[[#This Row],[Diện tích (m²)]]*BanHang[[#This Row],[Đơn giá (trđ/m²)]]</f>
        <v>2364.08</v>
      </c>
      <c r="L403" s="4">
        <v>0.03</v>
      </c>
      <c r="M403" t="s">
        <v>27</v>
      </c>
      <c r="N403" s="3">
        <f>IF(BanHang[[#This Row],[Trạng thái]]="Huỷ cọc",0,BanHang[[#This Row],[Giá trị hợp đồng (trđ)]]*(1-BanHang[[#This Row],[Chiết khấu (%)]]))</f>
        <v>2293.1576</v>
      </c>
    </row>
    <row r="404" spans="1:14" x14ac:dyDescent="0.3">
      <c r="A404" t="s">
        <v>458</v>
      </c>
      <c r="B404" s="1">
        <v>46231.59375</v>
      </c>
      <c r="C404" t="str">
        <f>"Tháng "&amp;MONTH(BanHang[[#This Row],[Ngày giờ bán]])</f>
        <v>Tháng 7</v>
      </c>
      <c r="D404" t="s">
        <v>454</v>
      </c>
      <c r="E404" t="s">
        <v>106</v>
      </c>
      <c r="F404" t="s">
        <v>107</v>
      </c>
      <c r="G404" t="s">
        <v>51</v>
      </c>
      <c r="H404" t="s">
        <v>19</v>
      </c>
      <c r="I404" s="2">
        <v>114.1</v>
      </c>
      <c r="J404" s="2">
        <v>161.6</v>
      </c>
      <c r="K404" s="3">
        <f>BanHang[[#This Row],[Diện tích (m²)]]*BanHang[[#This Row],[Đơn giá (trđ/m²)]]</f>
        <v>18438.559999999998</v>
      </c>
      <c r="L404" s="4">
        <v>0</v>
      </c>
      <c r="M404" t="s">
        <v>53</v>
      </c>
      <c r="N404" s="3">
        <f>IF(BanHang[[#This Row],[Trạng thái]]="Huỷ cọc",0,BanHang[[#This Row],[Giá trị hợp đồng (trđ)]]*(1-BanHang[[#This Row],[Chiết khấu (%)]]))</f>
        <v>18438.559999999998</v>
      </c>
    </row>
    <row r="405" spans="1:14" x14ac:dyDescent="0.3">
      <c r="A405" t="s">
        <v>459</v>
      </c>
      <c r="B405" s="1">
        <v>46231.614583333336</v>
      </c>
      <c r="C405" t="str">
        <f>"Tháng "&amp;MONTH(BanHang[[#This Row],[Ngày giờ bán]])</f>
        <v>Tháng 7</v>
      </c>
      <c r="D405" t="s">
        <v>101</v>
      </c>
      <c r="E405" t="s">
        <v>50</v>
      </c>
      <c r="F405" t="s">
        <v>103</v>
      </c>
      <c r="G405" t="s">
        <v>108</v>
      </c>
      <c r="H405" t="s">
        <v>476</v>
      </c>
      <c r="I405" s="2">
        <v>73</v>
      </c>
      <c r="J405" s="2">
        <v>75.8</v>
      </c>
      <c r="K405" s="3">
        <f>BanHang[[#This Row],[Diện tích (m²)]]*BanHang[[#This Row],[Đơn giá (trđ/m²)]]</f>
        <v>5533.4</v>
      </c>
      <c r="L405" s="4">
        <v>0.05</v>
      </c>
      <c r="M405" t="s">
        <v>27</v>
      </c>
      <c r="N405" s="3">
        <f>IF(BanHang[[#This Row],[Trạng thái]]="Huỷ cọc",0,BanHang[[#This Row],[Giá trị hợp đồng (trđ)]]*(1-BanHang[[#This Row],[Chiết khấu (%)]]))</f>
        <v>5256.73</v>
      </c>
    </row>
    <row r="406" spans="1:14" x14ac:dyDescent="0.3">
      <c r="A406" t="s">
        <v>460</v>
      </c>
      <c r="B406" s="1">
        <v>46231.625</v>
      </c>
      <c r="C406" t="str">
        <f>"Tháng "&amp;MONTH(BanHang[[#This Row],[Ngày giờ bán]])</f>
        <v>Tháng 7</v>
      </c>
      <c r="D406" t="s">
        <v>49</v>
      </c>
      <c r="E406" t="s">
        <v>50</v>
      </c>
      <c r="F406" t="s">
        <v>156</v>
      </c>
      <c r="G406" t="s">
        <v>78</v>
      </c>
      <c r="H406" t="s">
        <v>476</v>
      </c>
      <c r="I406" s="2">
        <v>81.3</v>
      </c>
      <c r="J406" s="2">
        <v>55.1</v>
      </c>
      <c r="K406" s="3">
        <f>BanHang[[#This Row],[Diện tích (m²)]]*BanHang[[#This Row],[Đơn giá (trđ/m²)]]</f>
        <v>4479.63</v>
      </c>
      <c r="L406" s="4">
        <v>7.0000000000000007E-2</v>
      </c>
      <c r="M406" t="s">
        <v>53</v>
      </c>
      <c r="N406" s="3">
        <f>IF(BanHang[[#This Row],[Trạng thái]]="Huỷ cọc",0,BanHang[[#This Row],[Giá trị hợp đồng (trđ)]]*(1-BanHang[[#This Row],[Chiết khấu (%)]]))</f>
        <v>4166.0558999999994</v>
      </c>
    </row>
    <row r="407" spans="1:14" x14ac:dyDescent="0.3">
      <c r="A407" t="s">
        <v>461</v>
      </c>
      <c r="B407" s="1">
        <v>46231.645833333336</v>
      </c>
      <c r="C407" t="str">
        <f>"Tháng "&amp;MONTH(BanHang[[#This Row],[Ngày giờ bán]])</f>
        <v>Tháng 7</v>
      </c>
      <c r="D407" t="s">
        <v>49</v>
      </c>
      <c r="E407" t="s">
        <v>50</v>
      </c>
      <c r="F407" t="s">
        <v>17</v>
      </c>
      <c r="G407" t="s">
        <v>78</v>
      </c>
      <c r="H407" t="s">
        <v>19</v>
      </c>
      <c r="I407" s="2">
        <v>69.2</v>
      </c>
      <c r="J407" s="2">
        <v>75.400000000000006</v>
      </c>
      <c r="K407" s="3">
        <f>BanHang[[#This Row],[Diện tích (m²)]]*BanHang[[#This Row],[Đơn giá (trđ/m²)]]</f>
        <v>5217.68</v>
      </c>
      <c r="L407" s="4">
        <v>0.01</v>
      </c>
      <c r="M407" t="s">
        <v>53</v>
      </c>
      <c r="N407" s="3">
        <f>IF(BanHang[[#This Row],[Trạng thái]]="Huỷ cọc",0,BanHang[[#This Row],[Giá trị hợp đồng (trđ)]]*(1-BanHang[[#This Row],[Chiết khấu (%)]]))</f>
        <v>5165.5032000000001</v>
      </c>
    </row>
    <row r="408" spans="1:14" x14ac:dyDescent="0.3">
      <c r="A408" t="s">
        <v>462</v>
      </c>
      <c r="B408" s="1">
        <v>46232.333333333336</v>
      </c>
      <c r="C408" t="str">
        <f>"Tháng "&amp;MONTH(BanHang[[#This Row],[Ngày giờ bán]])</f>
        <v>Tháng 7</v>
      </c>
      <c r="D408" t="s">
        <v>225</v>
      </c>
      <c r="E408" t="s">
        <v>180</v>
      </c>
      <c r="F408" t="s">
        <v>77</v>
      </c>
      <c r="G408" t="s">
        <v>108</v>
      </c>
      <c r="H408" t="s">
        <v>109</v>
      </c>
      <c r="I408" s="2">
        <v>219.3</v>
      </c>
      <c r="J408" s="2">
        <v>48.7</v>
      </c>
      <c r="K408" s="3">
        <f>BanHang[[#This Row],[Diện tích (m²)]]*BanHang[[#This Row],[Đơn giá (trđ/m²)]]</f>
        <v>10679.910000000002</v>
      </c>
      <c r="L408" s="4">
        <v>0.05</v>
      </c>
      <c r="M408" t="s">
        <v>27</v>
      </c>
      <c r="N408" s="3">
        <f>IF(BanHang[[#This Row],[Trạng thái]]="Huỷ cọc",0,BanHang[[#This Row],[Giá trị hợp đồng (trđ)]]*(1-BanHang[[#This Row],[Chiết khấu (%)]]))</f>
        <v>10145.914500000001</v>
      </c>
    </row>
    <row r="409" spans="1:14" x14ac:dyDescent="0.3">
      <c r="A409" t="s">
        <v>463</v>
      </c>
      <c r="B409" s="1">
        <v>46232.34375</v>
      </c>
      <c r="C409" t="str">
        <f>"Tháng "&amp;MONTH(BanHang[[#This Row],[Ngày giờ bán]])</f>
        <v>Tháng 7</v>
      </c>
      <c r="D409" t="s">
        <v>478</v>
      </c>
      <c r="E409" t="s">
        <v>384</v>
      </c>
      <c r="F409" t="s">
        <v>107</v>
      </c>
      <c r="G409" t="s">
        <v>108</v>
      </c>
      <c r="H409" t="s">
        <v>476</v>
      </c>
      <c r="I409" s="2">
        <v>54.5</v>
      </c>
      <c r="J409" s="2">
        <v>57</v>
      </c>
      <c r="K409" s="3">
        <f>BanHang[[#This Row],[Diện tích (m²)]]*BanHang[[#This Row],[Đơn giá (trđ/m²)]]</f>
        <v>3106.5</v>
      </c>
      <c r="L409" s="4">
        <v>0.05</v>
      </c>
      <c r="M409" t="s">
        <v>53</v>
      </c>
      <c r="N409" s="3">
        <f>IF(BanHang[[#This Row],[Trạng thái]]="Huỷ cọc",0,BanHang[[#This Row],[Giá trị hợp đồng (trđ)]]*(1-BanHang[[#This Row],[Chiết khấu (%)]]))</f>
        <v>2951.1749999999997</v>
      </c>
    </row>
    <row r="410" spans="1:14" x14ac:dyDescent="0.3">
      <c r="A410" t="s">
        <v>464</v>
      </c>
      <c r="B410" s="1">
        <v>46232.375</v>
      </c>
      <c r="C410" t="str">
        <f>"Tháng "&amp;MONTH(BanHang[[#This Row],[Ngày giờ bán]])</f>
        <v>Tháng 7</v>
      </c>
      <c r="D410" t="s">
        <v>179</v>
      </c>
      <c r="E410" t="s">
        <v>180</v>
      </c>
      <c r="F410" t="s">
        <v>17</v>
      </c>
      <c r="G410" t="s">
        <v>25</v>
      </c>
      <c r="H410" t="s">
        <v>109</v>
      </c>
      <c r="I410" s="2">
        <v>93.5</v>
      </c>
      <c r="J410" s="2">
        <v>46.6</v>
      </c>
      <c r="K410" s="3">
        <f>BanHang[[#This Row],[Diện tích (m²)]]*BanHang[[#This Row],[Đơn giá (trđ/m²)]]</f>
        <v>4357.1000000000004</v>
      </c>
      <c r="L410" s="4">
        <v>0.05</v>
      </c>
      <c r="M410" t="s">
        <v>53</v>
      </c>
      <c r="N410" s="3">
        <f>IF(BanHang[[#This Row],[Trạng thái]]="Huỷ cọc",0,BanHang[[#This Row],[Giá trị hợp đồng (trđ)]]*(1-BanHang[[#This Row],[Chiết khấu (%)]]))</f>
        <v>4139.2449999999999</v>
      </c>
    </row>
    <row r="411" spans="1:14" x14ac:dyDescent="0.3">
      <c r="A411" t="s">
        <v>465</v>
      </c>
      <c r="B411" s="1">
        <v>46232.385416666664</v>
      </c>
      <c r="C411" t="str">
        <f>"Tháng "&amp;MONTH(BanHang[[#This Row],[Ngày giờ bán]])</f>
        <v>Tháng 7</v>
      </c>
      <c r="D411" t="s">
        <v>225</v>
      </c>
      <c r="E411" t="s">
        <v>180</v>
      </c>
      <c r="F411" t="s">
        <v>156</v>
      </c>
      <c r="G411" t="s">
        <v>78</v>
      </c>
      <c r="H411" t="s">
        <v>406</v>
      </c>
      <c r="I411" s="2">
        <v>131.80000000000001</v>
      </c>
      <c r="J411" s="2">
        <v>35.1</v>
      </c>
      <c r="K411" s="3">
        <f>BanHang[[#This Row],[Diện tích (m²)]]*BanHang[[#This Row],[Đơn giá (trđ/m²)]]</f>
        <v>4626.18</v>
      </c>
      <c r="L411" s="4">
        <v>0.03</v>
      </c>
      <c r="M411" t="s">
        <v>53</v>
      </c>
      <c r="N411" s="3">
        <f>IF(BanHang[[#This Row],[Trạng thái]]="Huỷ cọc",0,BanHang[[#This Row],[Giá trị hợp đồng (trđ)]]*(1-BanHang[[#This Row],[Chiết khấu (%)]]))</f>
        <v>4487.3946000000005</v>
      </c>
    </row>
    <row r="412" spans="1:14" x14ac:dyDescent="0.3">
      <c r="A412" t="s">
        <v>466</v>
      </c>
      <c r="B412" s="1">
        <v>46232.541666666664</v>
      </c>
      <c r="C412" t="str">
        <f>"Tháng "&amp;MONTH(BanHang[[#This Row],[Ngày giờ bán]])</f>
        <v>Tháng 7</v>
      </c>
      <c r="D412" t="s">
        <v>49</v>
      </c>
      <c r="E412" t="s">
        <v>50</v>
      </c>
      <c r="F412" t="s">
        <v>24</v>
      </c>
      <c r="G412" t="s">
        <v>51</v>
      </c>
      <c r="H412" t="s">
        <v>52</v>
      </c>
      <c r="I412" s="2">
        <v>75.900000000000006</v>
      </c>
      <c r="J412" s="2">
        <v>62.8</v>
      </c>
      <c r="K412" s="3">
        <f>BanHang[[#This Row],[Diện tích (m²)]]*BanHang[[#This Row],[Đơn giá (trđ/m²)]]</f>
        <v>4766.5200000000004</v>
      </c>
      <c r="L412" s="4">
        <v>0.03</v>
      </c>
      <c r="M412" t="s">
        <v>27</v>
      </c>
      <c r="N412" s="3">
        <f>IF(BanHang[[#This Row],[Trạng thái]]="Huỷ cọc",0,BanHang[[#This Row],[Giá trị hợp đồng (trđ)]]*(1-BanHang[[#This Row],[Chiết khấu (%)]]))</f>
        <v>4623.5244000000002</v>
      </c>
    </row>
    <row r="413" spans="1:14" x14ac:dyDescent="0.3">
      <c r="A413" t="s">
        <v>467</v>
      </c>
      <c r="B413" s="1">
        <v>46232.572916666664</v>
      </c>
      <c r="C413" t="str">
        <f>"Tháng "&amp;MONTH(BanHang[[#This Row],[Ngày giờ bán]])</f>
        <v>Tháng 7</v>
      </c>
      <c r="D413" t="s">
        <v>479</v>
      </c>
      <c r="E413" t="s">
        <v>23</v>
      </c>
      <c r="F413" t="s">
        <v>17</v>
      </c>
      <c r="G413" t="s">
        <v>78</v>
      </c>
      <c r="H413" t="s">
        <v>226</v>
      </c>
      <c r="I413" s="2">
        <v>106.3</v>
      </c>
      <c r="J413" s="2">
        <v>76.2</v>
      </c>
      <c r="K413" s="3">
        <f>BanHang[[#This Row],[Diện tích (m²)]]*BanHang[[#This Row],[Đơn giá (trđ/m²)]]</f>
        <v>8100.06</v>
      </c>
      <c r="L413" s="4">
        <v>0.02</v>
      </c>
      <c r="M413" t="s">
        <v>27</v>
      </c>
      <c r="N413" s="3">
        <f>IF(BanHang[[#This Row],[Trạng thái]]="Huỷ cọc",0,BanHang[[#This Row],[Giá trị hợp đồng (trđ)]]*(1-BanHang[[#This Row],[Chiết khấu (%)]]))</f>
        <v>7938.0588000000007</v>
      </c>
    </row>
    <row r="414" spans="1:14" x14ac:dyDescent="0.3">
      <c r="A414" t="s">
        <v>468</v>
      </c>
      <c r="B414" s="1">
        <v>46232.729166666672</v>
      </c>
      <c r="C414" t="str">
        <f>"Tháng "&amp;MONTH(BanHang[[#This Row],[Ngày giờ bán]])</f>
        <v>Tháng 7</v>
      </c>
      <c r="D414" t="s">
        <v>49</v>
      </c>
      <c r="E414" t="s">
        <v>50</v>
      </c>
      <c r="F414" t="s">
        <v>24</v>
      </c>
      <c r="G414" t="s">
        <v>78</v>
      </c>
      <c r="H414" t="s">
        <v>26</v>
      </c>
      <c r="I414" s="2">
        <v>71</v>
      </c>
      <c r="J414" s="2">
        <v>53</v>
      </c>
      <c r="K414" s="3">
        <f>BanHang[[#This Row],[Diện tích (m²)]]*BanHang[[#This Row],[Đơn giá (trđ/m²)]]</f>
        <v>3763</v>
      </c>
      <c r="L414" s="4">
        <v>0</v>
      </c>
      <c r="M414" t="s">
        <v>53</v>
      </c>
      <c r="N414" s="3">
        <f>IF(BanHang[[#This Row],[Trạng thái]]="Huỷ cọc",0,BanHang[[#This Row],[Giá trị hợp đồng (trđ)]]*(1-BanHang[[#This Row],[Chiết khấu (%)]]))</f>
        <v>3763</v>
      </c>
    </row>
    <row r="415" spans="1:14" x14ac:dyDescent="0.3">
      <c r="A415" t="s">
        <v>469</v>
      </c>
      <c r="B415" s="1">
        <v>46232.729166666672</v>
      </c>
      <c r="C415" t="str">
        <f>"Tháng "&amp;MONTH(BanHang[[#This Row],[Ngày giờ bán]])</f>
        <v>Tháng 7</v>
      </c>
      <c r="D415" t="s">
        <v>408</v>
      </c>
      <c r="E415" t="s">
        <v>180</v>
      </c>
      <c r="F415" t="s">
        <v>17</v>
      </c>
      <c r="G415" t="s">
        <v>51</v>
      </c>
      <c r="H415" t="s">
        <v>79</v>
      </c>
      <c r="I415" s="2">
        <v>196.7</v>
      </c>
      <c r="J415" s="2">
        <v>34.1</v>
      </c>
      <c r="K415" s="3">
        <f>BanHang[[#This Row],[Diện tích (m²)]]*BanHang[[#This Row],[Đơn giá (trđ/m²)]]</f>
        <v>6707.47</v>
      </c>
      <c r="L415" s="4">
        <v>0.05</v>
      </c>
      <c r="M415" t="s">
        <v>53</v>
      </c>
      <c r="N415" s="3">
        <f>IF(BanHang[[#This Row],[Trạng thái]]="Huỷ cọc",0,BanHang[[#This Row],[Giá trị hợp đồng (trđ)]]*(1-BanHang[[#This Row],[Chiết khấu (%)]]))</f>
        <v>6372.0964999999997</v>
      </c>
    </row>
    <row r="416" spans="1:14" x14ac:dyDescent="0.3">
      <c r="A416" t="s">
        <v>470</v>
      </c>
      <c r="B416" s="1">
        <v>46232.791666666664</v>
      </c>
      <c r="C416" t="str">
        <f>"Tháng "&amp;MONTH(BanHang[[#This Row],[Ngày giờ bán]])</f>
        <v>Tháng 7</v>
      </c>
      <c r="D416" t="s">
        <v>105</v>
      </c>
      <c r="E416" t="s">
        <v>23</v>
      </c>
      <c r="F416" t="s">
        <v>77</v>
      </c>
      <c r="G416" t="s">
        <v>108</v>
      </c>
      <c r="H416" t="s">
        <v>52</v>
      </c>
      <c r="I416" s="2">
        <v>94.1</v>
      </c>
      <c r="J416" s="2">
        <v>131.4</v>
      </c>
      <c r="K416" s="3">
        <f>BanHang[[#This Row],[Diện tích (m²)]]*BanHang[[#This Row],[Đơn giá (trđ/m²)]]</f>
        <v>12364.74</v>
      </c>
      <c r="L416" s="4">
        <v>0</v>
      </c>
      <c r="M416" t="s">
        <v>53</v>
      </c>
      <c r="N416" s="3">
        <f>IF(BanHang[[#This Row],[Trạng thái]]="Huỷ cọc",0,BanHang[[#This Row],[Giá trị hợp đồng (trđ)]]*(1-BanHang[[#This Row],[Chiết khấu (%)]]))</f>
        <v>12364.74</v>
      </c>
    </row>
    <row r="417" spans="1:14" x14ac:dyDescent="0.3">
      <c r="A417" t="s">
        <v>471</v>
      </c>
      <c r="B417" s="1">
        <v>46233.40625</v>
      </c>
      <c r="C417" t="str">
        <f>"Tháng "&amp;MONTH(BanHang[[#This Row],[Ngày giờ bán]])</f>
        <v>Tháng 7</v>
      </c>
      <c r="D417" t="s">
        <v>49</v>
      </c>
      <c r="E417" t="s">
        <v>50</v>
      </c>
      <c r="F417" t="s">
        <v>24</v>
      </c>
      <c r="G417" t="s">
        <v>78</v>
      </c>
      <c r="H417" t="s">
        <v>52</v>
      </c>
      <c r="I417" s="2">
        <v>72.8</v>
      </c>
      <c r="J417" s="2">
        <v>73.8</v>
      </c>
      <c r="K417" s="3">
        <f>BanHang[[#This Row],[Diện tích (m²)]]*BanHang[[#This Row],[Đơn giá (trđ/m²)]]</f>
        <v>5372.6399999999994</v>
      </c>
      <c r="L417" s="4">
        <v>0</v>
      </c>
      <c r="M417" t="s">
        <v>53</v>
      </c>
      <c r="N417" s="3">
        <f>IF(BanHang[[#This Row],[Trạng thái]]="Huỷ cọc",0,BanHang[[#This Row],[Giá trị hợp đồng (trđ)]]*(1-BanHang[[#This Row],[Chiết khấu (%)]]))</f>
        <v>5372.6399999999994</v>
      </c>
    </row>
    <row r="418" spans="1:14" x14ac:dyDescent="0.3">
      <c r="A418" t="s">
        <v>472</v>
      </c>
      <c r="B418" s="1">
        <v>46233.46875</v>
      </c>
      <c r="C418" t="str">
        <f>"Tháng "&amp;MONTH(BanHang[[#This Row],[Ngày giờ bán]])</f>
        <v>Tháng 7</v>
      </c>
      <c r="D418" t="s">
        <v>225</v>
      </c>
      <c r="E418" t="s">
        <v>180</v>
      </c>
      <c r="F418" t="s">
        <v>103</v>
      </c>
      <c r="G418" t="s">
        <v>51</v>
      </c>
      <c r="H418" t="s">
        <v>476</v>
      </c>
      <c r="I418" s="2">
        <v>209.9</v>
      </c>
      <c r="J418" s="2">
        <v>22.6</v>
      </c>
      <c r="K418" s="3">
        <f>BanHang[[#This Row],[Diện tích (m²)]]*BanHang[[#This Row],[Đơn giá (trđ/m²)]]</f>
        <v>4743.7400000000007</v>
      </c>
      <c r="L418" s="4">
        <v>0.05</v>
      </c>
      <c r="M418" t="s">
        <v>53</v>
      </c>
      <c r="N418" s="3">
        <f>IF(BanHang[[#This Row],[Trạng thái]]="Huỷ cọc",0,BanHang[[#This Row],[Giá trị hợp đồng (trđ)]]*(1-BanHang[[#This Row],[Chiết khấu (%)]]))</f>
        <v>4506.5530000000008</v>
      </c>
    </row>
    <row r="419" spans="1:14" x14ac:dyDescent="0.3">
      <c r="A419" t="s">
        <v>473</v>
      </c>
      <c r="B419" s="1">
        <v>46233.802083333328</v>
      </c>
      <c r="C419" t="str">
        <f>"Tháng "&amp;MONTH(BanHang[[#This Row],[Ngày giờ bán]])</f>
        <v>Tháng 7</v>
      </c>
      <c r="D419" t="s">
        <v>111</v>
      </c>
      <c r="E419" t="s">
        <v>50</v>
      </c>
      <c r="F419" t="s">
        <v>17</v>
      </c>
      <c r="G419" t="s">
        <v>51</v>
      </c>
      <c r="H419" t="s">
        <v>79</v>
      </c>
      <c r="I419" s="2">
        <v>56.4</v>
      </c>
      <c r="J419" s="2">
        <v>49.5</v>
      </c>
      <c r="K419" s="3">
        <f>BanHang[[#This Row],[Diện tích (m²)]]*BanHang[[#This Row],[Đơn giá (trđ/m²)]]</f>
        <v>2791.7999999999997</v>
      </c>
      <c r="L419" s="4">
        <v>0</v>
      </c>
      <c r="M419" t="s">
        <v>27</v>
      </c>
      <c r="N419" s="3">
        <f>IF(BanHang[[#This Row],[Trạng thái]]="Huỷ cọc",0,BanHang[[#This Row],[Giá trị hợp đồng (trđ)]]*(1-BanHang[[#This Row],[Chiết khấu (%)]]))</f>
        <v>2791.7999999999997</v>
      </c>
    </row>
    <row r="420" spans="1:14" x14ac:dyDescent="0.3">
      <c r="A420" t="s">
        <v>474</v>
      </c>
      <c r="B420" s="1">
        <v>46234.4375</v>
      </c>
      <c r="C420" t="str">
        <f>"Tháng "&amp;MONTH(BanHang[[#This Row],[Ngày giờ bán]])</f>
        <v>Tháng 7</v>
      </c>
      <c r="D420" t="s">
        <v>76</v>
      </c>
      <c r="E420" t="s">
        <v>50</v>
      </c>
      <c r="F420" t="s">
        <v>156</v>
      </c>
      <c r="G420" t="s">
        <v>108</v>
      </c>
      <c r="H420" t="s">
        <v>52</v>
      </c>
      <c r="I420" s="2">
        <v>62.7</v>
      </c>
      <c r="J420" s="2">
        <v>67.3</v>
      </c>
      <c r="K420" s="3">
        <f>BanHang[[#This Row],[Diện tích (m²)]]*BanHang[[#This Row],[Đơn giá (trđ/m²)]]</f>
        <v>4219.71</v>
      </c>
      <c r="L420" s="4">
        <v>0.08</v>
      </c>
      <c r="M420" t="s">
        <v>27</v>
      </c>
      <c r="N420" s="3">
        <f>IF(BanHang[[#This Row],[Trạng thái]]="Huỷ cọc",0,BanHang[[#This Row],[Giá trị hợp đồng (trđ)]]*(1-BanHang[[#This Row],[Chiết khấu (%)]]))</f>
        <v>3882.1332000000002</v>
      </c>
    </row>
    <row r="421" spans="1:14" x14ac:dyDescent="0.3">
      <c r="A421" t="s">
        <v>475</v>
      </c>
      <c r="B421" s="1">
        <v>46234.46875</v>
      </c>
      <c r="C421" t="str">
        <f>"Tháng "&amp;MONTH(BanHang[[#This Row],[Ngày giờ bán]])</f>
        <v>Tháng 7</v>
      </c>
      <c r="D421" t="s">
        <v>477</v>
      </c>
      <c r="E421" t="s">
        <v>106</v>
      </c>
      <c r="F421" t="s">
        <v>77</v>
      </c>
      <c r="G421" t="s">
        <v>18</v>
      </c>
      <c r="H421" t="s">
        <v>79</v>
      </c>
      <c r="I421" s="2">
        <v>131.9</v>
      </c>
      <c r="J421" s="2">
        <v>193.8</v>
      </c>
      <c r="K421" s="3">
        <f>BanHang[[#This Row],[Diện tích (m²)]]*BanHang[[#This Row],[Đơn giá (trđ/m²)]]</f>
        <v>25562.22</v>
      </c>
      <c r="L421" s="4">
        <v>0.08</v>
      </c>
      <c r="M421" t="s">
        <v>27</v>
      </c>
      <c r="N421" s="3">
        <f>IF(BanHang[[#This Row],[Trạng thái]]="Huỷ cọc",0,BanHang[[#This Row],[Giá trị hợp đồng (trđ)]]*(1-BanHang[[#This Row],[Chiết khấu (%)]]))</f>
        <v>23517.242400000003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3F57C-A9BB-4311-A008-5B75F3535E96}">
  <dimension ref="A1:C61"/>
  <sheetViews>
    <sheetView topLeftCell="A29" workbookViewId="0">
      <selection activeCell="C47" sqref="C47"/>
    </sheetView>
  </sheetViews>
  <sheetFormatPr defaultRowHeight="14" x14ac:dyDescent="0.3"/>
  <cols>
    <col min="1" max="1" width="29.1640625" customWidth="1"/>
    <col min="2" max="2" width="15.83203125" customWidth="1"/>
    <col min="3" max="3" width="24.1640625" customWidth="1"/>
  </cols>
  <sheetData>
    <row r="1" spans="1:3" ht="20" x14ac:dyDescent="0.4">
      <c r="A1" s="11" t="s">
        <v>480</v>
      </c>
    </row>
    <row r="2" spans="1:3" ht="14.5" x14ac:dyDescent="0.35">
      <c r="A2" s="12" t="s">
        <v>481</v>
      </c>
    </row>
    <row r="4" spans="1:3" x14ac:dyDescent="0.3">
      <c r="A4" s="5" t="s">
        <v>482</v>
      </c>
      <c r="B4" s="13">
        <f>SUM(BanHang[Doanh thu ghi nhận (trđ)])</f>
        <v>4005184.5725000007</v>
      </c>
    </row>
    <row r="5" spans="1:3" x14ac:dyDescent="0.3">
      <c r="A5" s="5" t="s">
        <v>483</v>
      </c>
      <c r="B5" s="14">
        <f>COUNTA(BanHang[Mã giao dịch])</f>
        <v>420</v>
      </c>
    </row>
    <row r="6" spans="1:3" x14ac:dyDescent="0.3">
      <c r="A6" s="5" t="s">
        <v>484</v>
      </c>
      <c r="B6" s="3">
        <f>AVERAGE(BanHang[Giá trị hợp đồng (trđ)])</f>
        <v>10521.143499999996</v>
      </c>
    </row>
    <row r="7" spans="1:3" x14ac:dyDescent="0.3">
      <c r="A7" s="5" t="s">
        <v>485</v>
      </c>
      <c r="B7" s="4">
        <f>COUNTIFS(BanHang[Trạng thái],"Huỷ cọc")/B5</f>
        <v>6.6666666666666666E-2</v>
      </c>
    </row>
    <row r="8" spans="1:3" x14ac:dyDescent="0.3">
      <c r="A8" s="5" t="s">
        <v>486</v>
      </c>
      <c r="B8" s="14">
        <f>SUM(BanHang[Diện tích (m²)])</f>
        <v>52424.800000000039</v>
      </c>
    </row>
    <row r="10" spans="1:3" x14ac:dyDescent="0.3">
      <c r="A10" s="15" t="s">
        <v>487</v>
      </c>
      <c r="B10" s="5"/>
      <c r="C10" s="5"/>
    </row>
    <row r="11" spans="1:3" x14ac:dyDescent="0.3">
      <c r="A11" s="17" t="s">
        <v>488</v>
      </c>
      <c r="B11" s="17" t="s">
        <v>483</v>
      </c>
      <c r="C11" s="17" t="s">
        <v>13</v>
      </c>
    </row>
    <row r="12" spans="1:3" x14ac:dyDescent="0.3">
      <c r="A12" s="18" t="s">
        <v>489</v>
      </c>
      <c r="B12" s="16">
        <f>COUNTIFS(BanHang[Tháng],$A12)</f>
        <v>38</v>
      </c>
      <c r="C12" s="19">
        <f>SUMIFS(BanHang[Doanh thu ghi nhận (trđ)],BanHang[Tháng],$A12)</f>
        <v>459676.87810000003</v>
      </c>
    </row>
    <row r="13" spans="1:3" x14ac:dyDescent="0.3">
      <c r="A13" s="18" t="s">
        <v>490</v>
      </c>
      <c r="B13" s="16">
        <f>COUNTIFS(BanHang[Tháng],$A13)</f>
        <v>34</v>
      </c>
      <c r="C13" s="19">
        <f>SUMIFS(BanHang[Doanh thu ghi nhận (trđ)],BanHang[Tháng],$A13)</f>
        <v>385755.09380000009</v>
      </c>
    </row>
    <row r="14" spans="1:3" x14ac:dyDescent="0.3">
      <c r="A14" s="18" t="s">
        <v>491</v>
      </c>
      <c r="B14" s="16">
        <f>COUNTIFS(BanHang[Tháng],$A14)</f>
        <v>43</v>
      </c>
      <c r="C14" s="19">
        <f>SUMIFS(BanHang[Doanh thu ghi nhận (trđ)],BanHang[Tháng],$A14)</f>
        <v>539061.26049999997</v>
      </c>
    </row>
    <row r="15" spans="1:3" x14ac:dyDescent="0.3">
      <c r="A15" s="18" t="s">
        <v>492</v>
      </c>
      <c r="B15" s="16">
        <f>COUNTIFS(BanHang[Tháng],$A15)</f>
        <v>68</v>
      </c>
      <c r="C15" s="19">
        <f>SUMIFS(BanHang[Doanh thu ghi nhận (trđ)],BanHang[Tháng],$A15)</f>
        <v>617054.87339999992</v>
      </c>
    </row>
    <row r="16" spans="1:3" x14ac:dyDescent="0.3">
      <c r="A16" s="18" t="s">
        <v>493</v>
      </c>
      <c r="B16" s="16">
        <f>COUNTIFS(BanHang[Tháng],$A16)</f>
        <v>60</v>
      </c>
      <c r="C16" s="19">
        <f>SUMIFS(BanHang[Doanh thu ghi nhận (trđ)],BanHang[Tháng],$A16)</f>
        <v>528374.42389999994</v>
      </c>
    </row>
    <row r="17" spans="1:3" x14ac:dyDescent="0.3">
      <c r="A17" s="18" t="s">
        <v>494</v>
      </c>
      <c r="B17" s="16">
        <f>COUNTIFS(BanHang[Tháng],$A17)</f>
        <v>75</v>
      </c>
      <c r="C17" s="19">
        <f>SUMIFS(BanHang[Doanh thu ghi nhận (trđ)],BanHang[Tháng],$A17)</f>
        <v>668743.5713999999</v>
      </c>
    </row>
    <row r="18" spans="1:3" x14ac:dyDescent="0.3">
      <c r="A18" s="18" t="s">
        <v>495</v>
      </c>
      <c r="B18" s="16">
        <f>COUNTIFS(BanHang[Tháng],$A18)</f>
        <v>102</v>
      </c>
      <c r="C18" s="19">
        <f>SUMIFS(BanHang[Doanh thu ghi nhận (trđ)],BanHang[Tháng],$A18)</f>
        <v>806518.47140000004</v>
      </c>
    </row>
    <row r="21" spans="1:3" x14ac:dyDescent="0.3">
      <c r="A21" s="15" t="s">
        <v>496</v>
      </c>
      <c r="B21" s="5"/>
      <c r="C21" s="5"/>
    </row>
    <row r="22" spans="1:3" x14ac:dyDescent="0.3">
      <c r="A22" s="17" t="s">
        <v>488</v>
      </c>
      <c r="B22" s="17" t="s">
        <v>483</v>
      </c>
      <c r="C22" s="17" t="s">
        <v>13</v>
      </c>
    </row>
    <row r="23" spans="1:3" x14ac:dyDescent="0.3">
      <c r="A23" s="18" t="s">
        <v>51</v>
      </c>
      <c r="B23" s="16">
        <f>COUNTIFS(BanHang[Kênh bán],$A23)</f>
        <v>155</v>
      </c>
      <c r="C23" s="19">
        <f>SUMIFS(BanHang[Doanh thu ghi nhận (trđ)],BanHang[Kênh bán],$A23)</f>
        <v>1567604.9189999995</v>
      </c>
    </row>
    <row r="24" spans="1:3" x14ac:dyDescent="0.3">
      <c r="A24" s="18" t="s">
        <v>108</v>
      </c>
      <c r="B24" s="16">
        <f>COUNTIFS(BanHang[Kênh bán],$A24)</f>
        <v>114</v>
      </c>
      <c r="C24" s="19">
        <f>SUMIFS(BanHang[Doanh thu ghi nhận (trđ)],BanHang[Kênh bán],$A24)</f>
        <v>1025739.8643</v>
      </c>
    </row>
    <row r="25" spans="1:3" x14ac:dyDescent="0.3">
      <c r="A25" s="18" t="s">
        <v>18</v>
      </c>
      <c r="B25" s="16">
        <f>COUNTIFS(BanHang[Kênh bán],$A25)</f>
        <v>70</v>
      </c>
      <c r="C25" s="19">
        <f>SUMIFS(BanHang[Doanh thu ghi nhận (trđ)],BanHang[Kênh bán],$A25)</f>
        <v>611187.23300000024</v>
      </c>
    </row>
    <row r="26" spans="1:3" x14ac:dyDescent="0.3">
      <c r="A26" s="18" t="s">
        <v>78</v>
      </c>
      <c r="B26" s="16">
        <f>COUNTIFS(BanHang[Kênh bán],$A26)</f>
        <v>55</v>
      </c>
      <c r="C26" s="19">
        <f>SUMIFS(BanHang[Doanh thu ghi nhận (trđ)],BanHang[Kênh bán],$A26)</f>
        <v>522042.00439999992</v>
      </c>
    </row>
    <row r="27" spans="1:3" x14ac:dyDescent="0.3">
      <c r="A27" s="18" t="s">
        <v>25</v>
      </c>
      <c r="B27" s="16">
        <f>COUNTIFS(BanHang[Kênh bán],$A27)</f>
        <v>26</v>
      </c>
      <c r="C27" s="19">
        <f>SUMIFS(BanHang[Doanh thu ghi nhận (trđ)],BanHang[Kênh bán],$A27)</f>
        <v>278610.55180000002</v>
      </c>
    </row>
    <row r="30" spans="1:3" x14ac:dyDescent="0.3">
      <c r="A30" s="15" t="s">
        <v>497</v>
      </c>
      <c r="B30" s="5"/>
      <c r="C30" s="5"/>
    </row>
    <row r="31" spans="1:3" x14ac:dyDescent="0.3">
      <c r="A31" s="17" t="s">
        <v>488</v>
      </c>
      <c r="B31" s="17" t="s">
        <v>483</v>
      </c>
      <c r="C31" s="17" t="s">
        <v>13</v>
      </c>
    </row>
    <row r="32" spans="1:3" x14ac:dyDescent="0.3">
      <c r="A32" s="18" t="s">
        <v>16</v>
      </c>
      <c r="B32" s="16">
        <f>COUNTIFS(BanHang[Loại hình BĐS],$A32)</f>
        <v>33</v>
      </c>
      <c r="C32" s="19">
        <f>SUMIFS(BanHang[Doanh thu ghi nhận (trđ)],BanHang[Loại hình BĐS],$A32)</f>
        <v>1252565.6574999997</v>
      </c>
    </row>
    <row r="33" spans="1:3" x14ac:dyDescent="0.3">
      <c r="A33" s="18" t="s">
        <v>106</v>
      </c>
      <c r="B33" s="16">
        <f>COUNTIFS(BanHang[Loại hình BĐS],$A33)</f>
        <v>40</v>
      </c>
      <c r="C33" s="19">
        <f>SUMIFS(BanHang[Doanh thu ghi nhận (trđ)],BanHang[Loại hình BĐS],$A33)</f>
        <v>781003.10140000016</v>
      </c>
    </row>
    <row r="34" spans="1:3" x14ac:dyDescent="0.3">
      <c r="A34" s="18" t="s">
        <v>50</v>
      </c>
      <c r="B34" s="16">
        <f>COUNTIFS(BanHang[Loại hình BĐS],$A34)</f>
        <v>157</v>
      </c>
      <c r="C34" s="19">
        <f>SUMIFS(BanHang[Doanh thu ghi nhận (trđ)],BanHang[Loại hình BĐS],$A34)</f>
        <v>642256.16570000013</v>
      </c>
    </row>
    <row r="35" spans="1:3" x14ac:dyDescent="0.3">
      <c r="A35" s="18" t="s">
        <v>180</v>
      </c>
      <c r="B35" s="16">
        <f>COUNTIFS(BanHang[Loại hình BĐS],$A35)</f>
        <v>108</v>
      </c>
      <c r="C35" s="19">
        <f>SUMIFS(BanHang[Doanh thu ghi nhận (trđ)],BanHang[Loại hình BĐS],$A35)</f>
        <v>609389.52580000006</v>
      </c>
    </row>
    <row r="36" spans="1:3" x14ac:dyDescent="0.3">
      <c r="A36" s="18" t="s">
        <v>23</v>
      </c>
      <c r="B36" s="16">
        <f>COUNTIFS(BanHang[Loại hình BĐS],$A36)</f>
        <v>47</v>
      </c>
      <c r="C36" s="19">
        <f>SUMIFS(BanHang[Doanh thu ghi nhận (trđ)],BanHang[Loại hình BĐS],$A36)</f>
        <v>600549.53859999997</v>
      </c>
    </row>
    <row r="37" spans="1:3" x14ac:dyDescent="0.3">
      <c r="A37" s="18" t="s">
        <v>384</v>
      </c>
      <c r="B37" s="16">
        <f>COUNTIFS(BanHang[Loại hình BĐS],$A37)</f>
        <v>35</v>
      </c>
      <c r="C37" s="19">
        <f>SUMIFS(BanHang[Doanh thu ghi nhận (trđ)],BanHang[Loại hình BĐS],$A37)</f>
        <v>119420.58349999999</v>
      </c>
    </row>
    <row r="40" spans="1:3" x14ac:dyDescent="0.3">
      <c r="A40" s="15" t="s">
        <v>498</v>
      </c>
      <c r="B40" s="5"/>
      <c r="C40" s="5"/>
    </row>
    <row r="41" spans="1:3" x14ac:dyDescent="0.3">
      <c r="A41" s="17" t="s">
        <v>488</v>
      </c>
      <c r="B41" s="17" t="s">
        <v>483</v>
      </c>
      <c r="C41" s="17" t="s">
        <v>13</v>
      </c>
    </row>
    <row r="42" spans="1:3" x14ac:dyDescent="0.3">
      <c r="A42" s="18" t="s">
        <v>476</v>
      </c>
      <c r="B42" s="16">
        <f>COUNTIFS(BanHang[Nhân viên sales],$A42)</f>
        <v>51</v>
      </c>
      <c r="C42" s="19">
        <f>SUMIFS(BanHang[Doanh thu ghi nhận (trđ)],BanHang[Nhân viên sales],$A42)</f>
        <v>470298.946</v>
      </c>
    </row>
    <row r="43" spans="1:3" x14ac:dyDescent="0.3">
      <c r="A43" s="18" t="s">
        <v>26</v>
      </c>
      <c r="B43" s="16">
        <f>COUNTIFS(BanHang[Nhân viên sales],$A43)</f>
        <v>38</v>
      </c>
      <c r="C43" s="19">
        <f>SUMIFS(BanHang[Doanh thu ghi nhận (trđ)],BanHang[Nhân viên sales],$A43)</f>
        <v>453588.68180000008</v>
      </c>
    </row>
    <row r="44" spans="1:3" x14ac:dyDescent="0.3">
      <c r="A44" s="18" t="s">
        <v>19</v>
      </c>
      <c r="B44" s="16">
        <f>COUNTIFS(BanHang[Nhân viên sales],$A44)</f>
        <v>43</v>
      </c>
      <c r="C44" s="19">
        <f>SUMIFS(BanHang[Doanh thu ghi nhận (trđ)],BanHang[Nhân viên sales],$A44)</f>
        <v>432200.73429999995</v>
      </c>
    </row>
    <row r="45" spans="1:3" x14ac:dyDescent="0.3">
      <c r="A45" s="18" t="s">
        <v>79</v>
      </c>
      <c r="B45" s="16">
        <f>COUNTIFS(BanHang[Nhân viên sales],$A45)</f>
        <v>44</v>
      </c>
      <c r="C45" s="19">
        <f>SUMIFS(BanHang[Doanh thu ghi nhận (trđ)],BanHang[Nhân viên sales],$A45)</f>
        <v>421572.44589999993</v>
      </c>
    </row>
    <row r="46" spans="1:3" x14ac:dyDescent="0.3">
      <c r="A46" s="18" t="s">
        <v>109</v>
      </c>
      <c r="B46" s="16">
        <f>COUNTIFS(BanHang[Nhân viên sales],$A46)</f>
        <v>46</v>
      </c>
      <c r="C46" s="19">
        <f>SUMIFS(BanHang[Doanh thu ghi nhận (trđ)],BanHang[Nhân viên sales],$A46)</f>
        <v>415465.77609999996</v>
      </c>
    </row>
    <row r="47" spans="1:3" x14ac:dyDescent="0.3">
      <c r="A47" s="18" t="s">
        <v>52</v>
      </c>
      <c r="B47" s="16">
        <f>COUNTIFS(BanHang[Nhân viên sales],$A47)</f>
        <v>44</v>
      </c>
      <c r="C47" s="19">
        <f>SUMIFS(BanHang[Doanh thu ghi nhận (trđ)],BanHang[Nhân viên sales],$A47)</f>
        <v>411610.21509999997</v>
      </c>
    </row>
    <row r="48" spans="1:3" x14ac:dyDescent="0.3">
      <c r="A48" s="18" t="s">
        <v>134</v>
      </c>
      <c r="B48" s="16">
        <f>COUNTIFS(BanHang[Nhân viên sales],$A48)</f>
        <v>43</v>
      </c>
      <c r="C48" s="19">
        <f>SUMIFS(BanHang[Doanh thu ghi nhận (trđ)],BanHang[Nhân viên sales],$A48)</f>
        <v>385835.29019999999</v>
      </c>
    </row>
    <row r="49" spans="1:3" x14ac:dyDescent="0.3">
      <c r="A49" s="18" t="s">
        <v>226</v>
      </c>
      <c r="B49" s="16">
        <f>COUNTIFS(BanHang[Nhân viên sales],$A49)</f>
        <v>34</v>
      </c>
      <c r="C49" s="19">
        <f>SUMIFS(BanHang[Doanh thu ghi nhận (trđ)],BanHang[Nhân viên sales],$A49)</f>
        <v>384305.8923999999</v>
      </c>
    </row>
    <row r="50" spans="1:3" x14ac:dyDescent="0.3">
      <c r="A50" s="18" t="s">
        <v>406</v>
      </c>
      <c r="B50" s="16">
        <f>COUNTIFS(BanHang[Nhân viên sales],$A50)</f>
        <v>45</v>
      </c>
      <c r="C50" s="19">
        <f>SUMIFS(BanHang[Doanh thu ghi nhận (trđ)],BanHang[Nhân viên sales],$A50)</f>
        <v>380945.43770000001</v>
      </c>
    </row>
    <row r="51" spans="1:3" x14ac:dyDescent="0.3">
      <c r="A51" s="18" t="s">
        <v>157</v>
      </c>
      <c r="B51" s="16">
        <f>COUNTIFS(BanHang[Nhân viên sales],$A51)</f>
        <v>32</v>
      </c>
      <c r="C51" s="19">
        <f>SUMIFS(BanHang[Doanh thu ghi nhận (trđ)],BanHang[Nhân viên sales],$A51)</f>
        <v>249361.15300000005</v>
      </c>
    </row>
    <row r="54" spans="1:3" x14ac:dyDescent="0.3">
      <c r="A54" s="15" t="s">
        <v>499</v>
      </c>
      <c r="B54" s="5"/>
      <c r="C54" s="5"/>
    </row>
    <row r="55" spans="1:3" x14ac:dyDescent="0.3">
      <c r="A55" s="17" t="s">
        <v>488</v>
      </c>
      <c r="B55" s="17" t="s">
        <v>483</v>
      </c>
      <c r="C55" s="17" t="s">
        <v>13</v>
      </c>
    </row>
    <row r="56" spans="1:3" x14ac:dyDescent="0.3">
      <c r="A56" s="18" t="s">
        <v>77</v>
      </c>
      <c r="B56" s="16">
        <f>COUNTIFS(BanHang[Khu vực],$A56)</f>
        <v>78</v>
      </c>
      <c r="C56" s="19">
        <f>SUMIFS(BanHang[Doanh thu ghi nhận (trđ)],BanHang[Khu vực],$A56)</f>
        <v>765666.96030000015</v>
      </c>
    </row>
    <row r="57" spans="1:3" x14ac:dyDescent="0.3">
      <c r="A57" s="18" t="s">
        <v>107</v>
      </c>
      <c r="B57" s="16">
        <f>COUNTIFS(BanHang[Khu vực],$A57)</f>
        <v>64</v>
      </c>
      <c r="C57" s="19">
        <f>SUMIFS(BanHang[Doanh thu ghi nhận (trđ)],BanHang[Khu vực],$A57)</f>
        <v>735877.32349999994</v>
      </c>
    </row>
    <row r="58" spans="1:3" x14ac:dyDescent="0.3">
      <c r="A58" s="18" t="s">
        <v>103</v>
      </c>
      <c r="B58" s="16">
        <f>COUNTIFS(BanHang[Khu vực],$A58)</f>
        <v>69</v>
      </c>
      <c r="C58" s="19">
        <f>SUMIFS(BanHang[Doanh thu ghi nhận (trđ)],BanHang[Khu vực],$A58)</f>
        <v>729926.46360000037</v>
      </c>
    </row>
    <row r="59" spans="1:3" x14ac:dyDescent="0.3">
      <c r="A59" s="18" t="s">
        <v>24</v>
      </c>
      <c r="B59" s="16">
        <f>COUNTIFS(BanHang[Khu vực],$A59)</f>
        <v>71</v>
      </c>
      <c r="C59" s="19">
        <f>SUMIFS(BanHang[Doanh thu ghi nhận (trđ)],BanHang[Khu vực],$A59)</f>
        <v>611400.02230000019</v>
      </c>
    </row>
    <row r="60" spans="1:3" x14ac:dyDescent="0.3">
      <c r="A60" s="18" t="s">
        <v>156</v>
      </c>
      <c r="B60" s="16">
        <f>COUNTIFS(BanHang[Khu vực],$A60)</f>
        <v>63</v>
      </c>
      <c r="C60" s="19">
        <f>SUMIFS(BanHang[Doanh thu ghi nhận (trđ)],BanHang[Khu vực],$A60)</f>
        <v>611316.51249999995</v>
      </c>
    </row>
    <row r="61" spans="1:3" x14ac:dyDescent="0.3">
      <c r="A61" s="18" t="s">
        <v>17</v>
      </c>
      <c r="B61" s="16">
        <f>COUNTIFS(BanHang[Khu vực],$A61)</f>
        <v>75</v>
      </c>
      <c r="C61" s="19">
        <f>SUMIFS(BanHang[Doanh thu ghi nhận (trđ)],BanHang[Khu vực],$A61)</f>
        <v>550997.29029999999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8FD2-9313-4176-97DB-12C2A142E0C4}">
  <dimension ref="A1:AF73"/>
  <sheetViews>
    <sheetView showGridLines="0" tabSelected="1" topLeftCell="A31" zoomScale="65" workbookViewId="0">
      <selection activeCell="X71" sqref="X71"/>
    </sheetView>
  </sheetViews>
  <sheetFormatPr defaultRowHeight="14" outlineLevelCol="1" x14ac:dyDescent="0.3"/>
  <cols>
    <col min="22" max="32" width="21.6640625" customWidth="1" outlineLevel="1"/>
  </cols>
  <sheetData>
    <row r="1" spans="1:25" ht="26" customHeight="1" x14ac:dyDescent="0.3">
      <c r="A1" s="64" t="s">
        <v>500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V1" s="20" t="s">
        <v>501</v>
      </c>
    </row>
    <row r="2" spans="1:25" ht="26" customHeight="1" x14ac:dyDescent="0.3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V2" s="5" t="s">
        <v>2</v>
      </c>
      <c r="W2" s="5" t="s">
        <v>483</v>
      </c>
      <c r="X2" s="5" t="s">
        <v>502</v>
      </c>
      <c r="Y2" s="5" t="s">
        <v>503</v>
      </c>
    </row>
    <row r="3" spans="1:25" x14ac:dyDescent="0.3">
      <c r="V3" t="s">
        <v>489</v>
      </c>
      <c r="W3" s="14">
        <f>COUNTIFS(BanHang[Tháng],$V3)</f>
        <v>38</v>
      </c>
      <c r="X3" s="14">
        <f>SUMIFS(BanHang[Doanh thu ghi nhận (trđ)],BanHang[Tháng],$V3)</f>
        <v>459676.87810000003</v>
      </c>
      <c r="Y3" s="4"/>
    </row>
    <row r="4" spans="1:25" ht="20" customHeight="1" x14ac:dyDescent="0.3">
      <c r="A4" s="65" t="s">
        <v>504</v>
      </c>
      <c r="B4" s="66"/>
      <c r="C4" s="66"/>
      <c r="D4" s="67"/>
      <c r="F4" s="74" t="s">
        <v>505</v>
      </c>
      <c r="G4" s="75"/>
      <c r="H4" s="75"/>
      <c r="I4" s="76"/>
      <c r="K4" s="83" t="s">
        <v>506</v>
      </c>
      <c r="L4" s="84"/>
      <c r="M4" s="84"/>
      <c r="N4" s="85"/>
      <c r="P4" s="42" t="s">
        <v>507</v>
      </c>
      <c r="Q4" s="43"/>
      <c r="R4" s="43"/>
      <c r="S4" s="44"/>
      <c r="V4" t="s">
        <v>490</v>
      </c>
      <c r="W4" s="14">
        <f>COUNTIFS(BanHang[Tháng],$V4)</f>
        <v>34</v>
      </c>
      <c r="X4" s="14">
        <f>SUMIFS(BanHang[Doanh thu ghi nhận (trđ)],BanHang[Tháng],$V4)</f>
        <v>385755.09380000009</v>
      </c>
      <c r="Y4" s="4">
        <f t="shared" ref="Y4:Y9" si="0">IFERROR(X4/X3-1,"")</f>
        <v>-0.16081249203906811</v>
      </c>
    </row>
    <row r="5" spans="1:25" ht="20" customHeight="1" x14ac:dyDescent="0.3">
      <c r="A5" s="68">
        <f>X9</f>
        <v>806518.47140000004</v>
      </c>
      <c r="B5" s="26"/>
      <c r="C5" s="26"/>
      <c r="D5" s="69"/>
      <c r="F5" s="77">
        <f>W9</f>
        <v>102</v>
      </c>
      <c r="G5" s="26"/>
      <c r="H5" s="26"/>
      <c r="I5" s="78"/>
      <c r="K5" s="86">
        <f>X9/W9</f>
        <v>7907.0438372549024</v>
      </c>
      <c r="L5" s="26"/>
      <c r="M5" s="26"/>
      <c r="N5" s="87"/>
      <c r="P5" s="45">
        <f>SUM(X3:X9)</f>
        <v>4005184.5724999998</v>
      </c>
      <c r="Q5" s="26"/>
      <c r="R5" s="26"/>
      <c r="S5" s="46"/>
      <c r="V5" t="s">
        <v>491</v>
      </c>
      <c r="W5" s="14">
        <f>COUNTIFS(BanHang[Tháng],$V5)</f>
        <v>43</v>
      </c>
      <c r="X5" s="14">
        <f>SUMIFS(BanHang[Doanh thu ghi nhận (trđ)],BanHang[Tháng],$V5)</f>
        <v>539061.26049999997</v>
      </c>
      <c r="Y5" s="4">
        <f t="shared" si="0"/>
        <v>0.39741838582041789</v>
      </c>
    </row>
    <row r="6" spans="1:25" ht="20" customHeight="1" x14ac:dyDescent="0.3">
      <c r="A6" s="70"/>
      <c r="B6" s="26"/>
      <c r="C6" s="26"/>
      <c r="D6" s="69"/>
      <c r="F6" s="79"/>
      <c r="G6" s="26"/>
      <c r="H6" s="26"/>
      <c r="I6" s="78"/>
      <c r="K6" s="88"/>
      <c r="L6" s="26"/>
      <c r="M6" s="26"/>
      <c r="N6" s="87"/>
      <c r="P6" s="47"/>
      <c r="Q6" s="26"/>
      <c r="R6" s="26"/>
      <c r="S6" s="46"/>
      <c r="V6" t="s">
        <v>492</v>
      </c>
      <c r="W6" s="14">
        <f>COUNTIFS(BanHang[Tháng],$V6)</f>
        <v>68</v>
      </c>
      <c r="X6" s="14">
        <f>SUMIFS(BanHang[Doanh thu ghi nhận (trđ)],BanHang[Tháng],$V6)</f>
        <v>617054.87339999992</v>
      </c>
      <c r="Y6" s="4">
        <f t="shared" si="0"/>
        <v>0.14468413632183075</v>
      </c>
    </row>
    <row r="7" spans="1:25" ht="18" customHeight="1" x14ac:dyDescent="0.3">
      <c r="A7" s="71">
        <f>Y9</f>
        <v>0.20602052250247649</v>
      </c>
      <c r="B7" s="72"/>
      <c r="C7" s="72"/>
      <c r="D7" s="73"/>
      <c r="F7" s="80">
        <f>IFERROR(W9/W8-1,"")</f>
        <v>0.3600000000000001</v>
      </c>
      <c r="G7" s="81"/>
      <c r="H7" s="81"/>
      <c r="I7" s="82"/>
      <c r="K7" s="89">
        <f>IFERROR((X9/W9)/(X8/W8)-1,"")</f>
        <v>-0.11322020404229671</v>
      </c>
      <c r="L7" s="90"/>
      <c r="M7" s="90"/>
      <c r="N7" s="91"/>
      <c r="P7" s="48" t="s">
        <v>508</v>
      </c>
      <c r="Q7" s="49"/>
      <c r="R7" s="49"/>
      <c r="S7" s="50"/>
      <c r="V7" t="s">
        <v>493</v>
      </c>
      <c r="W7" s="14">
        <f>COUNTIFS(BanHang[Tháng],$V7)</f>
        <v>60</v>
      </c>
      <c r="X7" s="14">
        <f>SUMIFS(BanHang[Doanh thu ghi nhận (trđ)],BanHang[Tháng],$V7)</f>
        <v>528374.42389999994</v>
      </c>
      <c r="Y7" s="4">
        <f t="shared" si="0"/>
        <v>-0.14371566180389561</v>
      </c>
    </row>
    <row r="8" spans="1:25" x14ac:dyDescent="0.3">
      <c r="V8" t="s">
        <v>494</v>
      </c>
      <c r="W8" s="14">
        <f>COUNTIFS(BanHang[Tháng],$V8)</f>
        <v>75</v>
      </c>
      <c r="X8" s="14">
        <f>SUMIFS(BanHang[Doanh thu ghi nhận (trđ)],BanHang[Tháng],$V8)</f>
        <v>668743.5713999999</v>
      </c>
      <c r="Y8" s="4">
        <f t="shared" si="0"/>
        <v>0.26566226741998067</v>
      </c>
    </row>
    <row r="9" spans="1:25" ht="20" customHeight="1" x14ac:dyDescent="0.3">
      <c r="A9" s="51" t="s">
        <v>509</v>
      </c>
      <c r="B9" s="52"/>
      <c r="C9" s="52"/>
      <c r="D9" s="53"/>
      <c r="F9" s="51" t="s">
        <v>510</v>
      </c>
      <c r="G9" s="52"/>
      <c r="H9" s="52"/>
      <c r="I9" s="53"/>
      <c r="K9" s="61" t="s">
        <v>511</v>
      </c>
      <c r="L9" s="62"/>
      <c r="M9" s="62"/>
      <c r="N9" s="63"/>
      <c r="P9" s="32" t="s">
        <v>512</v>
      </c>
      <c r="Q9" s="33"/>
      <c r="R9" s="33"/>
      <c r="S9" s="34"/>
      <c r="V9" t="s">
        <v>495</v>
      </c>
      <c r="W9" s="14">
        <f>COUNTIFS(BanHang[Tháng],$V9)</f>
        <v>102</v>
      </c>
      <c r="X9" s="14">
        <f>SUMIFS(BanHang[Doanh thu ghi nhận (trđ)],BanHang[Tháng],$V9)</f>
        <v>806518.47140000004</v>
      </c>
      <c r="Y9" s="4">
        <f t="shared" si="0"/>
        <v>0.20602052250247649</v>
      </c>
    </row>
    <row r="10" spans="1:25" ht="20" customHeight="1" x14ac:dyDescent="0.3">
      <c r="A10" s="54">
        <f>COUNTIFS(BanHang[Trạng thái],"Huỷ cọc")/COUNTA(BanHang[Mã giao dịch])</f>
        <v>6.6666666666666666E-2</v>
      </c>
      <c r="B10" s="26"/>
      <c r="C10" s="26"/>
      <c r="D10" s="55"/>
      <c r="F10" s="60">
        <f>COUNTIFS(BanHang[Trạng thái],"Đã ký HĐMB")/COUNTA(BanHang[Mã giao dịch])</f>
        <v>0.62142857142857144</v>
      </c>
      <c r="G10" s="26"/>
      <c r="H10" s="26"/>
      <c r="I10" s="55"/>
      <c r="K10" s="25" t="str">
        <f>INDEX($V$13:$V$17,MATCH(MAX($X$13:$X$17),$X$13:$X$17,0))</f>
        <v>Sàn nội bộ (F1)</v>
      </c>
      <c r="L10" s="26"/>
      <c r="M10" s="26"/>
      <c r="N10" s="27"/>
      <c r="P10" s="35" t="str">
        <f>INDEX($V$49:$V$58,MATCH(MAX($X$49:$X$58),$X$49:$X$58,0))</f>
        <v>Nguyễn Văn An</v>
      </c>
      <c r="Q10" s="26"/>
      <c r="R10" s="26"/>
      <c r="S10" s="36"/>
    </row>
    <row r="11" spans="1:25" ht="20" customHeight="1" x14ac:dyDescent="0.3">
      <c r="A11" s="56"/>
      <c r="B11" s="26"/>
      <c r="C11" s="26"/>
      <c r="D11" s="55"/>
      <c r="F11" s="56"/>
      <c r="G11" s="26"/>
      <c r="H11" s="26"/>
      <c r="I11" s="55"/>
      <c r="K11" s="28"/>
      <c r="L11" s="26"/>
      <c r="M11" s="26"/>
      <c r="N11" s="27"/>
      <c r="P11" s="37"/>
      <c r="Q11" s="26"/>
      <c r="R11" s="26"/>
      <c r="S11" s="36"/>
    </row>
    <row r="12" spans="1:25" ht="18" customHeight="1" x14ac:dyDescent="0.3">
      <c r="A12" s="57" t="str">
        <f>"Mục tiêu ≤ 8%"</f>
        <v>Mục tiêu ≤ 8%</v>
      </c>
      <c r="B12" s="58"/>
      <c r="C12" s="58"/>
      <c r="D12" s="59"/>
      <c r="F12" s="57" t="str">
        <f>"Mục tiêu ≥ 60%"</f>
        <v>Mục tiêu ≥ 60%</v>
      </c>
      <c r="G12" s="58"/>
      <c r="H12" s="58"/>
      <c r="I12" s="59"/>
      <c r="K12" s="29" t="str">
        <f>TEXT(MAX($X$13:$X$17)/SUM($X$13:$X$17),"0.0%")&amp;" tổng doanh thu"</f>
        <v>39.1% tổng doanh thu</v>
      </c>
      <c r="L12" s="30"/>
      <c r="M12" s="30"/>
      <c r="N12" s="31"/>
      <c r="P12" s="38" t="str">
        <f>TEXT(MAX($X$49:$X$58),"#,##0")&amp;" trđ"</f>
        <v>470,299 trđ</v>
      </c>
      <c r="Q12" s="39"/>
      <c r="R12" s="39"/>
      <c r="S12" s="40"/>
      <c r="V12" s="5" t="s">
        <v>6</v>
      </c>
      <c r="W12" s="5" t="s">
        <v>483</v>
      </c>
      <c r="X12" s="5" t="s">
        <v>502</v>
      </c>
      <c r="Y12" s="5" t="s">
        <v>503</v>
      </c>
    </row>
    <row r="13" spans="1:25" ht="20" customHeight="1" x14ac:dyDescent="0.3">
      <c r="A13" s="41" t="str">
        <f>"% ĐẠT KẾ HOẠCH TOÀN DANH MỤC: "&amp;TEXT(SUM(X30:X45)/SUM(Z30:Z45),"0.0%")&amp;"  ("&amp;TEXT(SUM(X30:X45),"#,##0")&amp;" / "&amp;TEXT(SUM(Z30:Z45),"#,##0")&amp;" trđ)"</f>
        <v>% ĐẠT KẾ HOẠCH TOÀN DANH MỤC: 92.1%  (4,005,185 / 4,350,000 trđ)</v>
      </c>
      <c r="B13" s="26"/>
      <c r="C13" s="26"/>
      <c r="D13" s="26"/>
      <c r="E13" s="26"/>
      <c r="F13" s="26"/>
      <c r="G13" s="26"/>
      <c r="H13" s="26"/>
      <c r="V13" t="s">
        <v>51</v>
      </c>
      <c r="W13" s="14">
        <f>COUNTIFS(BanHang[Kênh bán],$V13)</f>
        <v>155</v>
      </c>
      <c r="X13" s="14">
        <f>SUMIFS(BanHang[Doanh thu ghi nhận (trđ)],BanHang[Kênh bán],$V13)</f>
        <v>1567604.9189999995</v>
      </c>
    </row>
    <row r="14" spans="1:25" x14ac:dyDescent="0.3">
      <c r="A14" s="21" t="s">
        <v>521</v>
      </c>
      <c r="V14" t="s">
        <v>108</v>
      </c>
      <c r="W14" s="14">
        <f>COUNTIFS(BanHang[Kênh bán],$V14)</f>
        <v>114</v>
      </c>
      <c r="X14" s="14">
        <f>SUMIFS(BanHang[Doanh thu ghi nhận (trđ)],BanHang[Kênh bán],$V14)</f>
        <v>1025739.8643</v>
      </c>
    </row>
    <row r="15" spans="1:25" x14ac:dyDescent="0.3">
      <c r="V15" t="s">
        <v>18</v>
      </c>
      <c r="W15" s="14">
        <f>COUNTIFS(BanHang[Kênh bán],$V15)</f>
        <v>70</v>
      </c>
      <c r="X15" s="14">
        <f>SUMIFS(BanHang[Doanh thu ghi nhận (trđ)],BanHang[Kênh bán],$V15)</f>
        <v>611187.23300000024</v>
      </c>
    </row>
    <row r="16" spans="1:25" x14ac:dyDescent="0.3">
      <c r="V16" t="s">
        <v>78</v>
      </c>
      <c r="W16" s="14">
        <f>COUNTIFS(BanHang[Kênh bán],$V16)</f>
        <v>55</v>
      </c>
      <c r="X16" s="14">
        <f>SUMIFS(BanHang[Doanh thu ghi nhận (trđ)],BanHang[Kênh bán],$V16)</f>
        <v>522042.00439999992</v>
      </c>
    </row>
    <row r="17" spans="22:32" x14ac:dyDescent="0.3">
      <c r="V17" t="s">
        <v>25</v>
      </c>
      <c r="W17" s="14">
        <f>COUNTIFS(BanHang[Kênh bán],$V17)</f>
        <v>26</v>
      </c>
      <c r="X17" s="14">
        <f>SUMIFS(BanHang[Doanh thu ghi nhận (trđ)],BanHang[Kênh bán],$V17)</f>
        <v>278610.55180000002</v>
      </c>
    </row>
    <row r="20" spans="22:32" x14ac:dyDescent="0.3">
      <c r="V20" s="5" t="s">
        <v>4</v>
      </c>
      <c r="W20" s="5" t="s">
        <v>483</v>
      </c>
      <c r="X20" s="5" t="s">
        <v>502</v>
      </c>
      <c r="Y20" s="5" t="s">
        <v>503</v>
      </c>
    </row>
    <row r="21" spans="22:32" x14ac:dyDescent="0.3">
      <c r="V21" t="s">
        <v>16</v>
      </c>
      <c r="W21" s="14">
        <f>COUNTIFS(BanHang[Loại hình BĐS],$V21)</f>
        <v>33</v>
      </c>
      <c r="X21" s="14">
        <f>SUMIFS(BanHang[Doanh thu ghi nhận (trđ)],BanHang[Loại hình BĐS],$V21)</f>
        <v>1252565.6574999997</v>
      </c>
    </row>
    <row r="22" spans="22:32" x14ac:dyDescent="0.3">
      <c r="V22" t="s">
        <v>106</v>
      </c>
      <c r="W22" s="14">
        <f>COUNTIFS(BanHang[Loại hình BĐS],$V22)</f>
        <v>40</v>
      </c>
      <c r="X22" s="14">
        <f>SUMIFS(BanHang[Doanh thu ghi nhận (trđ)],BanHang[Loại hình BĐS],$V22)</f>
        <v>781003.10140000016</v>
      </c>
    </row>
    <row r="23" spans="22:32" x14ac:dyDescent="0.3">
      <c r="V23" t="s">
        <v>50</v>
      </c>
      <c r="W23" s="14">
        <f>COUNTIFS(BanHang[Loại hình BĐS],$V23)</f>
        <v>157</v>
      </c>
      <c r="X23" s="14">
        <f>SUMIFS(BanHang[Doanh thu ghi nhận (trđ)],BanHang[Loại hình BĐS],$V23)</f>
        <v>642256.16570000013</v>
      </c>
    </row>
    <row r="24" spans="22:32" x14ac:dyDescent="0.3">
      <c r="V24" t="s">
        <v>180</v>
      </c>
      <c r="W24" s="14">
        <f>COUNTIFS(BanHang[Loại hình BĐS],$V24)</f>
        <v>108</v>
      </c>
      <c r="X24" s="14">
        <f>SUMIFS(BanHang[Doanh thu ghi nhận (trđ)],BanHang[Loại hình BĐS],$V24)</f>
        <v>609389.52580000006</v>
      </c>
    </row>
    <row r="25" spans="22:32" x14ac:dyDescent="0.3">
      <c r="V25" t="s">
        <v>23</v>
      </c>
      <c r="W25" s="14">
        <f>COUNTIFS(BanHang[Loại hình BĐS],$V25)</f>
        <v>47</v>
      </c>
      <c r="X25" s="14">
        <f>SUMIFS(BanHang[Doanh thu ghi nhận (trđ)],BanHang[Loại hình BĐS],$V25)</f>
        <v>600549.53859999997</v>
      </c>
    </row>
    <row r="26" spans="22:32" x14ac:dyDescent="0.3">
      <c r="V26" t="s">
        <v>384</v>
      </c>
      <c r="W26" s="14">
        <f>COUNTIFS(BanHang[Loại hình BĐS],$V26)</f>
        <v>35</v>
      </c>
      <c r="X26" s="14">
        <f>SUMIFS(BanHang[Doanh thu ghi nhận (trđ)],BanHang[Loại hình BĐS],$V26)</f>
        <v>119420.58349999999</v>
      </c>
    </row>
    <row r="29" spans="22:32" x14ac:dyDescent="0.3">
      <c r="V29" s="5" t="s">
        <v>3</v>
      </c>
      <c r="W29" s="5" t="s">
        <v>483</v>
      </c>
      <c r="X29" s="5" t="s">
        <v>502</v>
      </c>
      <c r="Y29" s="5" t="s">
        <v>503</v>
      </c>
      <c r="Z29" s="5" t="s">
        <v>517</v>
      </c>
      <c r="AA29" s="5" t="s">
        <v>518</v>
      </c>
      <c r="AC29" s="5" t="s">
        <v>519</v>
      </c>
      <c r="AD29" s="5" t="s">
        <v>520</v>
      </c>
      <c r="AE29" s="5" t="s">
        <v>517</v>
      </c>
      <c r="AF29" s="5" t="s">
        <v>518</v>
      </c>
    </row>
    <row r="30" spans="22:32" x14ac:dyDescent="0.3">
      <c r="V30" t="s">
        <v>15</v>
      </c>
      <c r="W30" s="14">
        <f>COUNTIFS(BanHang[Dự án],$V30)</f>
        <v>18</v>
      </c>
      <c r="X30" s="14">
        <f>SUMIFS(BanHang[Doanh thu ghi nhận (trđ)],BanHang[Dự án],$V30)</f>
        <v>758444.96909999987</v>
      </c>
      <c r="Z30" s="14">
        <f>IFERROR(INDEX(KeHoach[Kế hoạch 2026 (trđ)],MATCH($V30,KeHoach[Dự án],0)),0)</f>
        <v>900000</v>
      </c>
      <c r="AA30" s="4">
        <f t="shared" ref="AA30:AA45" si="1">IFERROR(X30/Z30,"")</f>
        <v>0.84271663233333316</v>
      </c>
      <c r="AC30" t="str">
        <f t="shared" ref="AC30:AC37" si="2">V30&amp;" ("&amp;TEXT(AA30,"0%")&amp;")"</f>
        <v>Ecopark Grand (84%)</v>
      </c>
      <c r="AD30" s="14">
        <f t="shared" ref="AD30:AD37" si="3">X30</f>
        <v>758444.96909999987</v>
      </c>
      <c r="AE30" s="14">
        <f t="shared" ref="AE30:AF37" si="4">Z30</f>
        <v>900000</v>
      </c>
      <c r="AF30" s="4">
        <f t="shared" si="4"/>
        <v>0.84271663233333316</v>
      </c>
    </row>
    <row r="31" spans="22:32" x14ac:dyDescent="0.3">
      <c r="V31" t="s">
        <v>249</v>
      </c>
      <c r="W31" s="14">
        <f>COUNTIFS(BanHang[Dự án],$V31)</f>
        <v>15</v>
      </c>
      <c r="X31" s="14">
        <f>SUMIFS(BanHang[Doanh thu ghi nhận (trđ)],BanHang[Dự án],$V31)</f>
        <v>494120.68840000004</v>
      </c>
      <c r="Z31" s="14">
        <f>IFERROR(INDEX(KeHoach[Kế hoạch 2026 (trđ)],MATCH($V31,KeHoach[Dự án],0)),0)</f>
        <v>450000</v>
      </c>
      <c r="AA31" s="4">
        <f t="shared" si="1"/>
        <v>1.0980459742222224</v>
      </c>
      <c r="AC31" t="str">
        <f t="shared" si="2"/>
        <v>Swan Bay Villas (110%)</v>
      </c>
      <c r="AD31" s="14">
        <f t="shared" si="3"/>
        <v>494120.68840000004</v>
      </c>
      <c r="AE31" s="14">
        <f t="shared" si="4"/>
        <v>450000</v>
      </c>
      <c r="AF31" s="4">
        <f t="shared" si="4"/>
        <v>1.0980459742222224</v>
      </c>
    </row>
    <row r="32" spans="22:32" x14ac:dyDescent="0.3">
      <c r="V32" t="s">
        <v>454</v>
      </c>
      <c r="W32" s="14">
        <f>COUNTIFS(BanHang[Dự án],$V32)</f>
        <v>25</v>
      </c>
      <c r="X32" s="14">
        <f>SUMIFS(BanHang[Doanh thu ghi nhận (trđ)],BanHang[Dự án],$V32)</f>
        <v>482139.66820000001</v>
      </c>
      <c r="Z32" s="14">
        <f>IFERROR(INDEX(KeHoach[Kế hoạch 2026 (trđ)],MATCH($V32,KeHoach[Dự án],0)),0)</f>
        <v>500000</v>
      </c>
      <c r="AA32" s="4">
        <f t="shared" si="1"/>
        <v>0.96427933640000008</v>
      </c>
      <c r="AC32" t="str">
        <f t="shared" si="2"/>
        <v>Sun Grand Boulevard (96%)</v>
      </c>
      <c r="AD32" s="14">
        <f t="shared" si="3"/>
        <v>482139.66820000001</v>
      </c>
      <c r="AE32" s="14">
        <f t="shared" si="4"/>
        <v>500000</v>
      </c>
      <c r="AF32" s="4">
        <f t="shared" si="4"/>
        <v>0.96427933640000008</v>
      </c>
    </row>
    <row r="33" spans="22:32" x14ac:dyDescent="0.3">
      <c r="V33" t="s">
        <v>477</v>
      </c>
      <c r="W33" s="14">
        <f>COUNTIFS(BanHang[Dự án],$V33)</f>
        <v>15</v>
      </c>
      <c r="X33" s="14">
        <f>SUMIFS(BanHang[Doanh thu ghi nhận (trđ)],BanHang[Dự án],$V33)</f>
        <v>298863.43319999997</v>
      </c>
      <c r="Z33" s="14">
        <f>IFERROR(INDEX(KeHoach[Kế hoạch 2026 (trđ)],MATCH($V33,KeHoach[Dự án],0)),0)</f>
        <v>350000</v>
      </c>
      <c r="AA33" s="4">
        <f t="shared" si="1"/>
        <v>0.85389552342857133</v>
      </c>
      <c r="AC33" t="str">
        <f t="shared" si="2"/>
        <v>Sunshine Diamond Plaza (85%)</v>
      </c>
      <c r="AD33" s="14">
        <f t="shared" si="3"/>
        <v>298863.43319999997</v>
      </c>
      <c r="AE33" s="14">
        <f t="shared" si="4"/>
        <v>350000</v>
      </c>
      <c r="AF33" s="4">
        <f t="shared" si="4"/>
        <v>0.85389552342857133</v>
      </c>
    </row>
    <row r="34" spans="22:32" x14ac:dyDescent="0.3">
      <c r="V34" t="s">
        <v>225</v>
      </c>
      <c r="W34" s="14">
        <f>COUNTIFS(BanHang[Dự án],$V34)</f>
        <v>37</v>
      </c>
      <c r="X34" s="14">
        <f>SUMIFS(BanHang[Doanh thu ghi nhận (trđ)],BanHang[Dự án],$V34)</f>
        <v>257740.5419000001</v>
      </c>
      <c r="Z34" s="14">
        <f>IFERROR(INDEX(KeHoach[Kế hoạch 2026 (trđ)],MATCH($V34,KeHoach[Dự án],0)),0)</f>
        <v>250000</v>
      </c>
      <c r="AA34" s="4">
        <f t="shared" si="1"/>
        <v>1.0309621676000005</v>
      </c>
      <c r="AC34" t="str">
        <f t="shared" si="2"/>
        <v>Bien Hoa New City (103%)</v>
      </c>
      <c r="AD34" s="14">
        <f t="shared" si="3"/>
        <v>257740.5419000001</v>
      </c>
      <c r="AE34" s="14">
        <f t="shared" si="4"/>
        <v>250000</v>
      </c>
      <c r="AF34" s="4">
        <f t="shared" si="4"/>
        <v>1.0309621676000005</v>
      </c>
    </row>
    <row r="35" spans="22:32" x14ac:dyDescent="0.3">
      <c r="V35" t="s">
        <v>479</v>
      </c>
      <c r="W35" s="14">
        <f>COUNTIFS(BanHang[Dự án],$V35)</f>
        <v>19</v>
      </c>
      <c r="X35" s="14">
        <f>SUMIFS(BanHang[Doanh thu ghi nhận (trđ)],BanHang[Dự án],$V35)</f>
        <v>246964.92009999996</v>
      </c>
      <c r="Z35" s="14">
        <f>IFERROR(INDEX(KeHoach[Kế hoạch 2026 (trđ)],MATCH($V35,KeHoach[Dự án],0)),0)</f>
        <v>300000</v>
      </c>
      <c r="AA35" s="4">
        <f t="shared" si="1"/>
        <v>0.82321640033333321</v>
      </c>
      <c r="AC35" t="str">
        <f t="shared" si="2"/>
        <v>Lavela Garden (82%)</v>
      </c>
      <c r="AD35" s="14">
        <f t="shared" si="3"/>
        <v>246964.92009999996</v>
      </c>
      <c r="AE35" s="14">
        <f t="shared" si="4"/>
        <v>300000</v>
      </c>
      <c r="AF35" s="4">
        <f t="shared" si="4"/>
        <v>0.82321640033333321</v>
      </c>
    </row>
    <row r="36" spans="22:32" x14ac:dyDescent="0.3">
      <c r="V36" t="s">
        <v>22</v>
      </c>
      <c r="W36" s="14">
        <f>COUNTIFS(BanHang[Dự án],$V36)</f>
        <v>15</v>
      </c>
      <c r="X36" s="14">
        <f>SUMIFS(BanHang[Doanh thu ghi nhận (trđ)],BanHang[Dự án],$V36)</f>
        <v>228423.08189999999</v>
      </c>
      <c r="Z36" s="14">
        <f>IFERROR(INDEX(KeHoach[Kế hoạch 2026 (trđ)],MATCH($V36,KeHoach[Dự án],0)),0)</f>
        <v>200000</v>
      </c>
      <c r="AA36" s="4">
        <f t="shared" si="1"/>
        <v>1.1421154094999999</v>
      </c>
      <c r="AC36" t="str">
        <f t="shared" si="2"/>
        <v>The Manor Central (114%)</v>
      </c>
      <c r="AD36" s="14">
        <f t="shared" si="3"/>
        <v>228423.08189999999</v>
      </c>
      <c r="AE36" s="14">
        <f t="shared" si="4"/>
        <v>200000</v>
      </c>
      <c r="AF36" s="4">
        <f t="shared" si="4"/>
        <v>1.1421154094999999</v>
      </c>
    </row>
    <row r="37" spans="22:32" x14ac:dyDescent="0.3">
      <c r="V37" t="s">
        <v>49</v>
      </c>
      <c r="W37" s="14">
        <f>COUNTIFS(BanHang[Dự án],$V37)</f>
        <v>45</v>
      </c>
      <c r="X37" s="14">
        <f>SUMIFS(BanHang[Doanh thu ghi nhận (trđ)],BanHang[Dự án],$V37)</f>
        <v>198207.00229999999</v>
      </c>
      <c r="Z37" s="14">
        <f>IFERROR(INDEX(KeHoach[Kế hoạch 2026 (trđ)],MATCH($V37,KeHoach[Dự án],0)),0)</f>
        <v>250000</v>
      </c>
      <c r="AA37" s="4">
        <f t="shared" si="1"/>
        <v>0.79282800919999996</v>
      </c>
      <c r="AC37" t="str">
        <f t="shared" si="2"/>
        <v>Vinhome Grand Park (79%)</v>
      </c>
      <c r="AD37" s="14">
        <f t="shared" si="3"/>
        <v>198207.00229999999</v>
      </c>
      <c r="AE37" s="14">
        <f t="shared" si="4"/>
        <v>250000</v>
      </c>
      <c r="AF37" s="4">
        <f t="shared" si="4"/>
        <v>0.79282800919999996</v>
      </c>
    </row>
    <row r="38" spans="22:32" x14ac:dyDescent="0.3">
      <c r="V38" t="s">
        <v>408</v>
      </c>
      <c r="W38" s="14">
        <f>COUNTIFS(BanHang[Dự án],$V38)</f>
        <v>38</v>
      </c>
      <c r="X38" s="14">
        <f>SUMIFS(BanHang[Doanh thu ghi nhận (trđ)],BanHang[Dự án],$V38)</f>
        <v>189395.42570000002</v>
      </c>
      <c r="Z38" s="14">
        <f>IFERROR(INDEX(KeHoach[Kế hoạch 2026 (trđ)],MATCH($V38,KeHoach[Dự án],0)),0)</f>
        <v>180000</v>
      </c>
      <c r="AA38" s="4">
        <f t="shared" si="1"/>
        <v>1.0521968094444445</v>
      </c>
    </row>
    <row r="39" spans="22:32" x14ac:dyDescent="0.3">
      <c r="V39" t="s">
        <v>76</v>
      </c>
      <c r="W39" s="14">
        <f>COUNTIFS(BanHang[Dự án],$V39)</f>
        <v>45</v>
      </c>
      <c r="X39" s="14">
        <f>SUMIFS(BanHang[Doanh thu ghi nhận (trđ)],BanHang[Dự án],$V39)</f>
        <v>188400.76959999997</v>
      </c>
      <c r="Z39" s="14">
        <f>IFERROR(INDEX(KeHoach[Kế hoạch 2026 (trđ)],MATCH($V39,KeHoach[Dự án],0)),0)</f>
        <v>220000</v>
      </c>
      <c r="AA39" s="4">
        <f t="shared" si="1"/>
        <v>0.85636713454545443</v>
      </c>
    </row>
    <row r="40" spans="22:32" x14ac:dyDescent="0.3">
      <c r="V40" t="s">
        <v>179</v>
      </c>
      <c r="W40" s="14">
        <f>COUNTIFS(BanHang[Dự án],$V40)</f>
        <v>33</v>
      </c>
      <c r="X40" s="14">
        <f>SUMIFS(BanHang[Doanh thu ghi nhận (trđ)],BanHang[Dự án],$V40)</f>
        <v>162253.55820000003</v>
      </c>
      <c r="Z40" s="14">
        <f>IFERROR(INDEX(KeHoach[Kế hoạch 2026 (trđ)],MATCH($V40,KeHoach[Dự án],0)),0)</f>
        <v>150000</v>
      </c>
      <c r="AA40" s="4">
        <f t="shared" si="1"/>
        <v>1.0816903880000002</v>
      </c>
    </row>
    <row r="41" spans="22:32" x14ac:dyDescent="0.3">
      <c r="V41" t="s">
        <v>111</v>
      </c>
      <c r="W41" s="14">
        <f>COUNTIFS(BanHang[Dự án],$V41)</f>
        <v>36</v>
      </c>
      <c r="X41" s="14">
        <f>SUMIFS(BanHang[Doanh thu ghi nhận (trđ)],BanHang[Dự án],$V41)</f>
        <v>137339.22809999998</v>
      </c>
      <c r="Z41" s="14">
        <f>IFERROR(INDEX(KeHoach[Kế hoạch 2026 (trđ)],MATCH($V41,KeHoach[Dự án],0)),0)</f>
        <v>180000</v>
      </c>
      <c r="AA41" s="4">
        <f t="shared" si="1"/>
        <v>0.76299571166666658</v>
      </c>
    </row>
    <row r="42" spans="22:32" x14ac:dyDescent="0.3">
      <c r="V42" t="s">
        <v>105</v>
      </c>
      <c r="W42" s="14">
        <f>COUNTIFS(BanHang[Dự án],$V42)</f>
        <v>13</v>
      </c>
      <c r="X42" s="14">
        <f>SUMIFS(BanHang[Doanh thu ghi nhận (trđ)],BanHang[Dự án],$V42)</f>
        <v>125161.53659999999</v>
      </c>
      <c r="Z42" s="14">
        <f>IFERROR(INDEX(KeHoach[Kế hoạch 2026 (trđ)],MATCH($V42,KeHoach[Dự án],0)),0)</f>
        <v>120000</v>
      </c>
      <c r="AA42" s="4">
        <f t="shared" si="1"/>
        <v>1.043012805</v>
      </c>
    </row>
    <row r="43" spans="22:32" x14ac:dyDescent="0.3">
      <c r="V43" t="s">
        <v>101</v>
      </c>
      <c r="W43" s="14">
        <f>COUNTIFS(BanHang[Dự án],$V43)</f>
        <v>31</v>
      </c>
      <c r="X43" s="14">
        <f>SUMIFS(BanHang[Doanh thu ghi nhận (trđ)],BanHang[Dự án],$V43)</f>
        <v>118309.16569999998</v>
      </c>
      <c r="Z43" s="14">
        <f>IFERROR(INDEX(KeHoach[Kế hoạch 2026 (trđ)],MATCH($V43,KeHoach[Dự án],0)),0)</f>
        <v>160000</v>
      </c>
      <c r="AA43" s="4">
        <f t="shared" si="1"/>
        <v>0.73943228562499985</v>
      </c>
    </row>
    <row r="44" spans="22:32" x14ac:dyDescent="0.3">
      <c r="V44" t="s">
        <v>383</v>
      </c>
      <c r="W44" s="14">
        <f>COUNTIFS(BanHang[Dự án],$V44)</f>
        <v>17</v>
      </c>
      <c r="X44" s="14">
        <f>SUMIFS(BanHang[Doanh thu ghi nhận (trđ)],BanHang[Dự án],$V44)</f>
        <v>61800.166499999992</v>
      </c>
      <c r="Z44" s="14">
        <f>IFERROR(INDEX(KeHoach[Kế hoạch 2026 (trđ)],MATCH($V44,KeHoach[Dự án],0)),0)</f>
        <v>80000</v>
      </c>
      <c r="AA44" s="4">
        <f t="shared" si="1"/>
        <v>0.77250208124999986</v>
      </c>
    </row>
    <row r="45" spans="22:32" x14ac:dyDescent="0.3">
      <c r="V45" t="s">
        <v>478</v>
      </c>
      <c r="W45" s="14">
        <f>COUNTIFS(BanHang[Dự án],$V45)</f>
        <v>18</v>
      </c>
      <c r="X45" s="14">
        <f>SUMIFS(BanHang[Doanh thu ghi nhận (trđ)],BanHang[Dự án],$V45)</f>
        <v>57620.416999999987</v>
      </c>
      <c r="Z45" s="14">
        <f>IFERROR(INDEX(KeHoach[Kế hoạch 2026 (trđ)],MATCH($V45,KeHoach[Dự án],0)),0)</f>
        <v>60000</v>
      </c>
      <c r="AA45" s="4">
        <f t="shared" si="1"/>
        <v>0.9603402833333331</v>
      </c>
    </row>
    <row r="48" spans="22:32" x14ac:dyDescent="0.3">
      <c r="V48" s="5" t="s">
        <v>7</v>
      </c>
      <c r="W48" s="5" t="s">
        <v>483</v>
      </c>
      <c r="X48" s="5" t="s">
        <v>502</v>
      </c>
      <c r="Y48" s="5" t="s">
        <v>503</v>
      </c>
    </row>
    <row r="49" spans="22:24" x14ac:dyDescent="0.3">
      <c r="V49" t="s">
        <v>476</v>
      </c>
      <c r="W49" s="14">
        <f>COUNTIFS(BanHang[Nhân viên sales],$V49)</f>
        <v>51</v>
      </c>
      <c r="X49" s="14">
        <f>SUMIFS(BanHang[Doanh thu ghi nhận (trđ)],BanHang[Nhân viên sales],$V49)</f>
        <v>470298.946</v>
      </c>
    </row>
    <row r="50" spans="22:24" x14ac:dyDescent="0.3">
      <c r="V50" t="s">
        <v>26</v>
      </c>
      <c r="W50" s="14">
        <f>COUNTIFS(BanHang[Nhân viên sales],$V50)</f>
        <v>38</v>
      </c>
      <c r="X50" s="14">
        <f>SUMIFS(BanHang[Doanh thu ghi nhận (trđ)],BanHang[Nhân viên sales],$V50)</f>
        <v>453588.68180000008</v>
      </c>
    </row>
    <row r="51" spans="22:24" x14ac:dyDescent="0.3">
      <c r="V51" t="s">
        <v>19</v>
      </c>
      <c r="W51" s="14">
        <f>COUNTIFS(BanHang[Nhân viên sales],$V51)</f>
        <v>43</v>
      </c>
      <c r="X51" s="14">
        <f>SUMIFS(BanHang[Doanh thu ghi nhận (trđ)],BanHang[Nhân viên sales],$V51)</f>
        <v>432200.73429999995</v>
      </c>
    </row>
    <row r="52" spans="22:24" x14ac:dyDescent="0.3">
      <c r="V52" t="s">
        <v>79</v>
      </c>
      <c r="W52" s="14">
        <f>COUNTIFS(BanHang[Nhân viên sales],$V52)</f>
        <v>44</v>
      </c>
      <c r="X52" s="14">
        <f>SUMIFS(BanHang[Doanh thu ghi nhận (trđ)],BanHang[Nhân viên sales],$V52)</f>
        <v>421572.44589999993</v>
      </c>
    </row>
    <row r="53" spans="22:24" x14ac:dyDescent="0.3">
      <c r="V53" t="s">
        <v>109</v>
      </c>
      <c r="W53" s="14">
        <f>COUNTIFS(BanHang[Nhân viên sales],$V53)</f>
        <v>46</v>
      </c>
      <c r="X53" s="14">
        <f>SUMIFS(BanHang[Doanh thu ghi nhận (trđ)],BanHang[Nhân viên sales],$V53)</f>
        <v>415465.77609999996</v>
      </c>
    </row>
    <row r="54" spans="22:24" x14ac:dyDescent="0.3">
      <c r="V54" t="s">
        <v>52</v>
      </c>
      <c r="W54" s="14">
        <f>COUNTIFS(BanHang[Nhân viên sales],$V54)</f>
        <v>44</v>
      </c>
      <c r="X54" s="14">
        <f>SUMIFS(BanHang[Doanh thu ghi nhận (trđ)],BanHang[Nhân viên sales],$V54)</f>
        <v>411610.21509999997</v>
      </c>
    </row>
    <row r="55" spans="22:24" x14ac:dyDescent="0.3">
      <c r="V55" t="s">
        <v>134</v>
      </c>
      <c r="W55" s="14">
        <f>COUNTIFS(BanHang[Nhân viên sales],$V55)</f>
        <v>43</v>
      </c>
      <c r="X55" s="14">
        <f>SUMIFS(BanHang[Doanh thu ghi nhận (trđ)],BanHang[Nhân viên sales],$V55)</f>
        <v>385835.29019999999</v>
      </c>
    </row>
    <row r="56" spans="22:24" x14ac:dyDescent="0.3">
      <c r="V56" t="s">
        <v>226</v>
      </c>
      <c r="W56" s="14">
        <f>COUNTIFS(BanHang[Nhân viên sales],$V56)</f>
        <v>34</v>
      </c>
      <c r="X56" s="14">
        <f>SUMIFS(BanHang[Doanh thu ghi nhận (trđ)],BanHang[Nhân viên sales],$V56)</f>
        <v>384305.8923999999</v>
      </c>
    </row>
    <row r="57" spans="22:24" x14ac:dyDescent="0.3">
      <c r="V57" t="s">
        <v>406</v>
      </c>
      <c r="W57" s="14">
        <f>COUNTIFS(BanHang[Nhân viên sales],$V57)</f>
        <v>45</v>
      </c>
      <c r="X57" s="14">
        <f>SUMIFS(BanHang[Doanh thu ghi nhận (trđ)],BanHang[Nhân viên sales],$V57)</f>
        <v>380945.43770000001</v>
      </c>
    </row>
    <row r="58" spans="22:24" x14ac:dyDescent="0.3">
      <c r="V58" t="s">
        <v>157</v>
      </c>
      <c r="W58" s="14">
        <f>COUNTIFS(BanHang[Nhân viên sales],$V58)</f>
        <v>32</v>
      </c>
      <c r="X58" s="14">
        <f>SUMIFS(BanHang[Doanh thu ghi nhận (trđ)],BanHang[Nhân viên sales],$V58)</f>
        <v>249361.15300000005</v>
      </c>
    </row>
    <row r="67" spans="22:25" x14ac:dyDescent="0.3">
      <c r="V67" s="5" t="s">
        <v>5</v>
      </c>
      <c r="W67" s="5" t="s">
        <v>483</v>
      </c>
      <c r="X67" s="5" t="s">
        <v>502</v>
      </c>
      <c r="Y67" s="5" t="s">
        <v>503</v>
      </c>
    </row>
    <row r="68" spans="22:25" x14ac:dyDescent="0.3">
      <c r="V68" t="s">
        <v>77</v>
      </c>
      <c r="W68" s="14">
        <f>COUNTIFS(BanHang[Khu vực],$V68)</f>
        <v>78</v>
      </c>
      <c r="X68" s="14">
        <f>SUMIFS(BanHang[Doanh thu ghi nhận (trđ)],BanHang[Khu vực],$V68)</f>
        <v>765666.96030000015</v>
      </c>
    </row>
    <row r="69" spans="22:25" x14ac:dyDescent="0.3">
      <c r="V69" t="s">
        <v>107</v>
      </c>
      <c r="W69" s="14">
        <f>COUNTIFS(BanHang[Khu vực],$V69)</f>
        <v>64</v>
      </c>
      <c r="X69" s="14">
        <f>SUMIFS(BanHang[Doanh thu ghi nhận (trđ)],BanHang[Khu vực],$V69)</f>
        <v>735877.32349999994</v>
      </c>
    </row>
    <row r="70" spans="22:25" x14ac:dyDescent="0.3">
      <c r="V70" t="s">
        <v>103</v>
      </c>
      <c r="W70" s="14">
        <f>COUNTIFS(BanHang[Khu vực],$V70)</f>
        <v>69</v>
      </c>
      <c r="X70" s="14">
        <f>SUMIFS(BanHang[Doanh thu ghi nhận (trđ)],BanHang[Khu vực],$V70)</f>
        <v>729926.46360000037</v>
      </c>
    </row>
    <row r="71" spans="22:25" x14ac:dyDescent="0.3">
      <c r="V71" t="s">
        <v>24</v>
      </c>
      <c r="W71" s="14">
        <f>COUNTIFS(BanHang[Khu vực],$V71)</f>
        <v>71</v>
      </c>
      <c r="X71" s="14">
        <f>SUMIFS(BanHang[Doanh thu ghi nhận (trđ)],BanHang[Khu vực],$V71)</f>
        <v>611400.02230000019</v>
      </c>
    </row>
    <row r="72" spans="22:25" x14ac:dyDescent="0.3">
      <c r="V72" t="s">
        <v>156</v>
      </c>
      <c r="W72" s="14">
        <f>COUNTIFS(BanHang[Khu vực],$V72)</f>
        <v>63</v>
      </c>
      <c r="X72" s="14">
        <f>SUMIFS(BanHang[Doanh thu ghi nhận (trđ)],BanHang[Khu vực],$V72)</f>
        <v>611316.51249999995</v>
      </c>
    </row>
    <row r="73" spans="22:25" x14ac:dyDescent="0.3">
      <c r="V73" t="s">
        <v>17</v>
      </c>
      <c r="W73" s="14">
        <f>COUNTIFS(BanHang[Khu vực],$V73)</f>
        <v>75</v>
      </c>
      <c r="X73" s="14">
        <f>SUMIFS(BanHang[Doanh thu ghi nhận (trđ)],BanHang[Khu vực],$V73)</f>
        <v>550997.29029999999</v>
      </c>
    </row>
  </sheetData>
  <mergeCells count="26">
    <mergeCell ref="A1:T2"/>
    <mergeCell ref="A4:D4"/>
    <mergeCell ref="A5:D6"/>
    <mergeCell ref="A7:D7"/>
    <mergeCell ref="F4:I4"/>
    <mergeCell ref="F5:I6"/>
    <mergeCell ref="F7:I7"/>
    <mergeCell ref="K4:N4"/>
    <mergeCell ref="K5:N6"/>
    <mergeCell ref="K7:N7"/>
    <mergeCell ref="A13:H13"/>
    <mergeCell ref="P4:S4"/>
    <mergeCell ref="P5:S6"/>
    <mergeCell ref="P7:S7"/>
    <mergeCell ref="A9:D9"/>
    <mergeCell ref="A10:D11"/>
    <mergeCell ref="A12:D12"/>
    <mergeCell ref="F9:I9"/>
    <mergeCell ref="F10:I11"/>
    <mergeCell ref="F12:I12"/>
    <mergeCell ref="K9:N9"/>
    <mergeCell ref="K10:N11"/>
    <mergeCell ref="K12:N12"/>
    <mergeCell ref="P9:S9"/>
    <mergeCell ref="P10:S11"/>
    <mergeCell ref="P12:S12"/>
  </mergeCells>
  <conditionalFormatting sqref="A10">
    <cfRule type="cellIs" dxfId="3" priority="8" operator="greaterThan">
      <formula>0.08</formula>
    </cfRule>
    <cfRule type="cellIs" dxfId="2" priority="9" operator="lessThanOrEqual">
      <formula>0.08</formula>
    </cfRule>
  </conditionalFormatting>
  <conditionalFormatting sqref="F10">
    <cfRule type="cellIs" dxfId="1" priority="10" operator="lessThan">
      <formula>0.6</formula>
    </cfRule>
    <cfRule type="cellIs" dxfId="0" priority="11" operator="greaterThanOrEqual">
      <formula>0.6</formula>
    </cfRule>
  </conditionalFormatting>
  <conditionalFormatting sqref="X3:X9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{A44838FD-76FB-433E-9B7D-EE7812C1B673}</x14:id>
        </ext>
      </extLst>
    </cfRule>
  </conditionalFormatting>
  <conditionalFormatting sqref="X13:X17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{9FB5B228-D8E1-4B4E-AE14-4E77E3E2A14C}</x14:id>
        </ext>
      </extLst>
    </cfRule>
  </conditionalFormatting>
  <conditionalFormatting sqref="X21:X26">
    <cfRule type="dataBar" priority="3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{B0DEDCE8-8C98-4482-98A0-09C8CB6704E3}</x14:id>
        </ext>
      </extLst>
    </cfRule>
  </conditionalFormatting>
  <conditionalFormatting sqref="X30:X45">
    <cfRule type="dataBar" priority="4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{45DF6D5C-F001-4938-B1D4-D202B7CE48AC}</x14:id>
        </ext>
      </extLst>
    </cfRule>
  </conditionalFormatting>
  <conditionalFormatting sqref="X49:X58">
    <cfRule type="dataBar" priority="5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{50DF0972-FFCE-4752-A52D-8315085C4663}</x14:id>
        </ext>
      </extLst>
    </cfRule>
  </conditionalFormatting>
  <conditionalFormatting sqref="X68:X73">
    <cfRule type="dataBar" priority="6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{7DF18C65-8280-41E6-A4BF-A7A279531F5F}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4838FD-76FB-433E-9B7D-EE7812C1B67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X3:X9</xm:sqref>
        </x14:conditionalFormatting>
        <x14:conditionalFormatting xmlns:xm="http://schemas.microsoft.com/office/excel/2006/main">
          <x14:cfRule type="dataBar" id="{9FB5B228-D8E1-4B4E-AE14-4E77E3E2A14C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X13:X17</xm:sqref>
        </x14:conditionalFormatting>
        <x14:conditionalFormatting xmlns:xm="http://schemas.microsoft.com/office/excel/2006/main">
          <x14:cfRule type="dataBar" id="{B0DEDCE8-8C98-4482-98A0-09C8CB6704E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X21:X26</xm:sqref>
        </x14:conditionalFormatting>
        <x14:conditionalFormatting xmlns:xm="http://schemas.microsoft.com/office/excel/2006/main">
          <x14:cfRule type="dataBar" id="{45DF6D5C-F001-4938-B1D4-D202B7CE48AC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X30:X45</xm:sqref>
        </x14:conditionalFormatting>
        <x14:conditionalFormatting xmlns:xm="http://schemas.microsoft.com/office/excel/2006/main">
          <x14:cfRule type="dataBar" id="{50DF0972-FFCE-4752-A52D-8315085C466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X49:X58</xm:sqref>
        </x14:conditionalFormatting>
        <x14:conditionalFormatting xmlns:xm="http://schemas.microsoft.com/office/excel/2006/main">
          <x14:cfRule type="dataBar" id="{7DF18C65-8280-41E6-A4BF-A7A279531F5F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X68:X73</xm:sqref>
        </x14:conditionalFormatting>
        <x14:conditionalFormatting xmlns:xm="http://schemas.microsoft.com/office/excel/2006/main">
          <x14:cfRule type="iconSet" priority="7" id="{0D05295F-E9E2-466B-866D-03053F1038F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Y4:Y9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1C5F-BDC9-4F4F-9C44-1608AE82B7B5}">
  <dimension ref="A1:B22"/>
  <sheetViews>
    <sheetView workbookViewId="0">
      <selection activeCell="Y6" sqref="Y6"/>
    </sheetView>
  </sheetViews>
  <sheetFormatPr defaultRowHeight="14" x14ac:dyDescent="0.3"/>
  <cols>
    <col min="1" max="1" width="87.83203125" bestFit="1" customWidth="1"/>
    <col min="2" max="2" width="19.58203125" bestFit="1" customWidth="1"/>
  </cols>
  <sheetData>
    <row r="1" spans="1:2" ht="18" x14ac:dyDescent="0.4">
      <c r="A1" s="22" t="s">
        <v>513</v>
      </c>
    </row>
    <row r="2" spans="1:2" ht="14.5" x14ac:dyDescent="0.35">
      <c r="A2" s="12" t="s">
        <v>514</v>
      </c>
    </row>
    <row r="4" spans="1:2" x14ac:dyDescent="0.3">
      <c r="A4" t="s">
        <v>3</v>
      </c>
      <c r="B4" t="s">
        <v>515</v>
      </c>
    </row>
    <row r="5" spans="1:2" x14ac:dyDescent="0.3">
      <c r="A5" t="s">
        <v>15</v>
      </c>
      <c r="B5" s="23">
        <v>900000</v>
      </c>
    </row>
    <row r="6" spans="1:2" x14ac:dyDescent="0.3">
      <c r="A6" t="s">
        <v>249</v>
      </c>
      <c r="B6" s="23">
        <v>450000</v>
      </c>
    </row>
    <row r="7" spans="1:2" x14ac:dyDescent="0.3">
      <c r="A7" t="s">
        <v>454</v>
      </c>
      <c r="B7" s="23">
        <v>500000</v>
      </c>
    </row>
    <row r="8" spans="1:2" x14ac:dyDescent="0.3">
      <c r="A8" t="s">
        <v>477</v>
      </c>
      <c r="B8" s="23">
        <v>350000</v>
      </c>
    </row>
    <row r="9" spans="1:2" x14ac:dyDescent="0.3">
      <c r="A9" t="s">
        <v>225</v>
      </c>
      <c r="B9" s="23">
        <v>250000</v>
      </c>
    </row>
    <row r="10" spans="1:2" x14ac:dyDescent="0.3">
      <c r="A10" t="s">
        <v>479</v>
      </c>
      <c r="B10" s="23">
        <v>300000</v>
      </c>
    </row>
    <row r="11" spans="1:2" x14ac:dyDescent="0.3">
      <c r="A11" t="s">
        <v>22</v>
      </c>
      <c r="B11" s="23">
        <v>200000</v>
      </c>
    </row>
    <row r="12" spans="1:2" x14ac:dyDescent="0.3">
      <c r="A12" t="s">
        <v>49</v>
      </c>
      <c r="B12" s="23">
        <v>250000</v>
      </c>
    </row>
    <row r="13" spans="1:2" x14ac:dyDescent="0.3">
      <c r="A13" t="s">
        <v>408</v>
      </c>
      <c r="B13" s="23">
        <v>180000</v>
      </c>
    </row>
    <row r="14" spans="1:2" x14ac:dyDescent="0.3">
      <c r="A14" t="s">
        <v>76</v>
      </c>
      <c r="B14" s="23">
        <v>220000</v>
      </c>
    </row>
    <row r="15" spans="1:2" x14ac:dyDescent="0.3">
      <c r="A15" t="s">
        <v>179</v>
      </c>
      <c r="B15" s="23">
        <v>150000</v>
      </c>
    </row>
    <row r="16" spans="1:2" x14ac:dyDescent="0.3">
      <c r="A16" t="s">
        <v>111</v>
      </c>
      <c r="B16" s="23">
        <v>180000</v>
      </c>
    </row>
    <row r="17" spans="1:2" x14ac:dyDescent="0.3">
      <c r="A17" t="s">
        <v>105</v>
      </c>
      <c r="B17" s="23">
        <v>120000</v>
      </c>
    </row>
    <row r="18" spans="1:2" x14ac:dyDescent="0.3">
      <c r="A18" t="s">
        <v>101</v>
      </c>
      <c r="B18" s="23">
        <v>160000</v>
      </c>
    </row>
    <row r="19" spans="1:2" x14ac:dyDescent="0.3">
      <c r="A19" t="s">
        <v>383</v>
      </c>
      <c r="B19" s="23">
        <v>80000</v>
      </c>
    </row>
    <row r="20" spans="1:2" x14ac:dyDescent="0.3">
      <c r="A20" t="s">
        <v>478</v>
      </c>
      <c r="B20" s="23">
        <v>60000</v>
      </c>
    </row>
    <row r="22" spans="1:2" x14ac:dyDescent="0.3">
      <c r="A22" s="5" t="s">
        <v>516</v>
      </c>
      <c r="B22" s="24">
        <f>SUM(KeHoach[Kế hoạch 2026 (trđ)])</f>
        <v>4350000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Dashboard</vt:lpstr>
      <vt:lpstr>KPI Dashboard</vt:lpstr>
      <vt:lpstr>Kế hoạch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Hoang</dc:creator>
  <cp:lastModifiedBy>Phan Hoang</cp:lastModifiedBy>
  <dcterms:created xsi:type="dcterms:W3CDTF">2026-08-09T09:43:57Z</dcterms:created>
  <dcterms:modified xsi:type="dcterms:W3CDTF">2026-08-09T15:35:55Z</dcterms:modified>
</cp:coreProperties>
</file>