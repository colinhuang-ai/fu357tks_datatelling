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Training\2026-08_powerbi\"/>
    </mc:Choice>
  </mc:AlternateContent>
  <xr:revisionPtr revIDLastSave="0" documentId="8_{F3399521-1823-4079-9311-0B679371F0C0}" xr6:coauthVersionLast="47" xr6:coauthVersionMax="47" xr10:uidLastSave="{00000000-0000-0000-0000-000000000000}"/>
  <bookViews>
    <workbookView xWindow="-110" yWindow="-110" windowWidth="22780" windowHeight="14540" activeTab="3" xr2:uid="{43D5CBC8-9B90-4A92-BD75-66A8CE9E8E31}"/>
  </bookViews>
  <sheets>
    <sheet name="Trang chủ" sheetId="1" r:id="rId1"/>
    <sheet name="Giao dịch 2026" sheetId="2" r:id="rId2"/>
    <sheet name="Tổng hợp" sheetId="3" r:id="rId3"/>
    <sheet name="Dashboar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6" i="4" l="1"/>
  <c r="G6" i="4"/>
  <c r="D6" i="4"/>
  <c r="A6" i="4"/>
  <c r="C19" i="3"/>
  <c r="C18" i="3"/>
  <c r="C17" i="3"/>
  <c r="C16" i="3"/>
  <c r="B19" i="3"/>
  <c r="B18" i="3"/>
  <c r="B17" i="3"/>
  <c r="B16" i="3"/>
  <c r="L12" i="3"/>
  <c r="L11" i="3"/>
  <c r="L10" i="3"/>
  <c r="L9" i="3"/>
  <c r="L8" i="3"/>
  <c r="L7" i="3"/>
  <c r="L6" i="3"/>
  <c r="L5" i="3"/>
  <c r="K12" i="3"/>
  <c r="K11" i="3"/>
  <c r="K10" i="3"/>
  <c r="K9" i="3"/>
  <c r="K8" i="3"/>
  <c r="K7" i="3"/>
  <c r="K6" i="3"/>
  <c r="K5" i="3"/>
  <c r="I9" i="3"/>
  <c r="I8" i="3"/>
  <c r="I7" i="3"/>
  <c r="I6" i="3"/>
  <c r="I5" i="3"/>
  <c r="H9" i="3"/>
  <c r="H8" i="3"/>
  <c r="H7" i="3"/>
  <c r="H6" i="3"/>
  <c r="H5" i="3"/>
  <c r="F10" i="3"/>
  <c r="F9" i="3"/>
  <c r="F8" i="3"/>
  <c r="F7" i="3"/>
  <c r="F6" i="3"/>
  <c r="F5" i="3"/>
  <c r="E10" i="3"/>
  <c r="E9" i="3"/>
  <c r="E8" i="3"/>
  <c r="E7" i="3"/>
  <c r="E6" i="3"/>
  <c r="E5" i="3"/>
  <c r="C11" i="3"/>
  <c r="C10" i="3"/>
  <c r="C9" i="3"/>
  <c r="C8" i="3"/>
  <c r="C7" i="3"/>
  <c r="C6" i="3"/>
  <c r="C5" i="3"/>
  <c r="B11" i="3"/>
  <c r="B10" i="3"/>
  <c r="B9" i="3"/>
  <c r="B8" i="3"/>
  <c r="B7" i="3"/>
  <c r="B6" i="3"/>
  <c r="B5" i="3"/>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<sst xmlns="http://schemas.openxmlformats.org/spreadsheetml/2006/main" count="3433" uniqueCount="520">
  <si>
    <t>Mã giao dịch</t>
  </si>
  <si>
    <t>Ngày giờ</t>
  </si>
  <si>
    <t>Tháng</t>
  </si>
  <si>
    <t>Sales</t>
  </si>
  <si>
    <t>Kênh bán</t>
  </si>
  <si>
    <t>Loại BĐS</t>
  </si>
  <si>
    <t>Dự án / Khu vực</t>
  </si>
  <si>
    <t>Khách hàng</t>
  </si>
  <si>
    <t>Diện tích (m²)</t>
  </si>
  <si>
    <t>Đơn giá (triệu/m²)</t>
  </si>
  <si>
    <t>Giá trị GD (tỷ)</t>
  </si>
  <si>
    <t>Trạng thái</t>
  </si>
  <si>
    <t>Tỷ lệ hoa hồng</t>
  </si>
  <si>
    <t>Hoa hồng (triệu)</t>
  </si>
  <si>
    <t>Nguồn cung</t>
  </si>
  <si>
    <t>GD26-0001</t>
  </si>
  <si>
    <t>Hoàng Khánh Vy</t>
  </si>
  <si>
    <t>Khách hàng giới thiệu</t>
  </si>
  <si>
    <t>Biệt thự</t>
  </si>
  <si>
    <t>Aqua City</t>
  </si>
  <si>
    <t>Lê Hoàng Cường</t>
  </si>
  <si>
    <t>Đã bán</t>
  </si>
  <si>
    <t>Chủ đầu tư</t>
  </si>
  <si>
    <t>GD26-0002</t>
  </si>
  <si>
    <t>Phạm Đức Long</t>
  </si>
  <si>
    <t>Căn hộ chung cư</t>
  </si>
  <si>
    <t>Eaton Park</t>
  </si>
  <si>
    <t>Lý Thành Công</t>
  </si>
  <si>
    <t>GD26-0003</t>
  </si>
  <si>
    <t>Sự kiện / Open house</t>
  </si>
  <si>
    <t>Đất nền</t>
  </si>
  <si>
    <t>Nhơn Trạch Central</t>
  </si>
  <si>
    <t>Trương Hải Yến</t>
  </si>
  <si>
    <t>Ngân hàng thanh lý</t>
  </si>
  <si>
    <t>GD26-0004</t>
  </si>
  <si>
    <t>Bùi Thanh Tùng</t>
  </si>
  <si>
    <t>Telesales</t>
  </si>
  <si>
    <t>Nhà phố</t>
  </si>
  <si>
    <t>Thủ Đức</t>
  </si>
  <si>
    <t>Sàn liên kết</t>
  </si>
  <si>
    <t>GD26-0005</t>
  </si>
  <si>
    <t>Digital Marketing</t>
  </si>
  <si>
    <t>Đồng Nai New City</t>
  </si>
  <si>
    <t>Đang đàm phán</t>
  </si>
  <si>
    <t>Chủ nhà</t>
  </si>
  <si>
    <t>GD26-0006</t>
  </si>
  <si>
    <t>Đỗ Hải Nam</t>
  </si>
  <si>
    <t>Môi giới liên kết</t>
  </si>
  <si>
    <t>Vinhomes Central Park</t>
  </si>
  <si>
    <t>Đỗ Gia Minh</t>
  </si>
  <si>
    <t>GD26-0007</t>
  </si>
  <si>
    <t>Lê Thu Hà</t>
  </si>
  <si>
    <t>Bất động sản nghỉ dưỡng</t>
  </si>
  <si>
    <t>Nha Trang</t>
  </si>
  <si>
    <t>Phạm Minh Đức</t>
  </si>
  <si>
    <t>Đặt cọc</t>
  </si>
  <si>
    <t>GD26-0008</t>
  </si>
  <si>
    <t>Hồ Tràm</t>
  </si>
  <si>
    <t>GD26-0009</t>
  </si>
  <si>
    <t>Bùi Ngọc Lan</t>
  </si>
  <si>
    <t>GD26-0010</t>
  </si>
  <si>
    <t>Hoàng Thu Nga</t>
  </si>
  <si>
    <t>GD26-0011</t>
  </si>
  <si>
    <t>Shophouse</t>
  </si>
  <si>
    <t>The Global City</t>
  </si>
  <si>
    <t>Nguyễn Văn An</t>
  </si>
  <si>
    <t>GD26-0012</t>
  </si>
  <si>
    <t>Vinhomes Grand Park</t>
  </si>
  <si>
    <t>GD26-0013</t>
  </si>
  <si>
    <t>Trần Quốc Bảo</t>
  </si>
  <si>
    <t>Quận 7</t>
  </si>
  <si>
    <t>Phan Anh Quân</t>
  </si>
  <si>
    <t>GD26-0014</t>
  </si>
  <si>
    <t>Võ Ngọc Mai</t>
  </si>
  <si>
    <t>Đặng Quốc Huy</t>
  </si>
  <si>
    <t>GD26-0015</t>
  </si>
  <si>
    <t>Gò Vấp</t>
  </si>
  <si>
    <t>GD26-0016</t>
  </si>
  <si>
    <t>Hủy</t>
  </si>
  <si>
    <t>Đấu giá</t>
  </si>
  <si>
    <t>GD26-0017</t>
  </si>
  <si>
    <t>Võ Thanh Hương</t>
  </si>
  <si>
    <t>GD26-0018</t>
  </si>
  <si>
    <t>GD26-0019</t>
  </si>
  <si>
    <t>Zeitgeist Nhà Bè</t>
  </si>
  <si>
    <t>Trần Thị Bình</t>
  </si>
  <si>
    <t>GD26-0020</t>
  </si>
  <si>
    <t>GD26-0021</t>
  </si>
  <si>
    <t>Sala Đại Quang Minh</t>
  </si>
  <si>
    <t>GD26-0022</t>
  </si>
  <si>
    <t>GD26-0023</t>
  </si>
  <si>
    <t>GD26-0024</t>
  </si>
  <si>
    <t>GD26-0025</t>
  </si>
  <si>
    <t>Phú Quốc</t>
  </si>
  <si>
    <t>GD26-0026</t>
  </si>
  <si>
    <t>GD26-0027</t>
  </si>
  <si>
    <t>GD26-0028</t>
  </si>
  <si>
    <t>GD26-0029</t>
  </si>
  <si>
    <t>GD26-0030</t>
  </si>
  <si>
    <t>GD26-0031</t>
  </si>
  <si>
    <t>GD26-0032</t>
  </si>
  <si>
    <t>GD26-0033</t>
  </si>
  <si>
    <t>Masteri Centre Point</t>
  </si>
  <si>
    <t>GD26-0034</t>
  </si>
  <si>
    <t>GD26-0035</t>
  </si>
  <si>
    <t>GD26-0036</t>
  </si>
  <si>
    <t>GD26-0037</t>
  </si>
  <si>
    <t>Nguyễn Minh Anh</t>
  </si>
  <si>
    <t>GD26-0038</t>
  </si>
  <si>
    <t>Đà Nẵng</t>
  </si>
  <si>
    <t>GD26-0039</t>
  </si>
  <si>
    <t>GD26-0040</t>
  </si>
  <si>
    <t>GD26-0041</t>
  </si>
  <si>
    <t>GD26-0042</t>
  </si>
  <si>
    <t>GD26-0043</t>
  </si>
  <si>
    <t>GD26-0044</t>
  </si>
  <si>
    <t>GD26-0045</t>
  </si>
  <si>
    <t>GD26-0046</t>
  </si>
  <si>
    <t>GD26-0047</t>
  </si>
  <si>
    <t>GD26-0048</t>
  </si>
  <si>
    <t>GD26-0049</t>
  </si>
  <si>
    <t>GD26-0050</t>
  </si>
  <si>
    <t>Phú Mỹ Hưng</t>
  </si>
  <si>
    <t>GD26-0051</t>
  </si>
  <si>
    <t>GD26-0052</t>
  </si>
  <si>
    <t>GD26-0053</t>
  </si>
  <si>
    <t>GD26-0054</t>
  </si>
  <si>
    <t>GD26-0055</t>
  </si>
  <si>
    <t>GD26-0056</t>
  </si>
  <si>
    <t>GD26-0057</t>
  </si>
  <si>
    <t>GD26-0058</t>
  </si>
  <si>
    <t>GD26-0059</t>
  </si>
  <si>
    <t>GD26-0060</t>
  </si>
  <si>
    <t>Long An Riverside</t>
  </si>
  <si>
    <t>GD26-0061</t>
  </si>
  <si>
    <t>GD26-0062</t>
  </si>
  <si>
    <t>GD26-0063</t>
  </si>
  <si>
    <t>GD26-0064</t>
  </si>
  <si>
    <t>GD26-0065</t>
  </si>
  <si>
    <t>Bình Dương Garden</t>
  </si>
  <si>
    <t>GD26-0066</t>
  </si>
  <si>
    <t>GD26-0067</t>
  </si>
  <si>
    <t>GD26-0068</t>
  </si>
  <si>
    <t>GD26-0069</t>
  </si>
  <si>
    <t>GD26-0070</t>
  </si>
  <si>
    <t>GD26-0071</t>
  </si>
  <si>
    <t>GD26-0072</t>
  </si>
  <si>
    <t>GD26-0073</t>
  </si>
  <si>
    <t>GD26-0074</t>
  </si>
  <si>
    <t>GD26-0075</t>
  </si>
  <si>
    <t>GD26-0076</t>
  </si>
  <si>
    <t>GD26-0077</t>
  </si>
  <si>
    <t>GD26-0078</t>
  </si>
  <si>
    <t>GD26-0079</t>
  </si>
  <si>
    <t>GD26-0080</t>
  </si>
  <si>
    <t>GD26-0081</t>
  </si>
  <si>
    <t>Bình Thạnh</t>
  </si>
  <si>
    <t>GD26-0082</t>
  </si>
  <si>
    <t>GD26-0083</t>
  </si>
  <si>
    <t>GD26-0084</t>
  </si>
  <si>
    <t>GD26-0085</t>
  </si>
  <si>
    <t>GD26-0086</t>
  </si>
  <si>
    <t>GD26-0087</t>
  </si>
  <si>
    <t>GD26-0088</t>
  </si>
  <si>
    <t>GD26-0089</t>
  </si>
  <si>
    <t>GD26-0090</t>
  </si>
  <si>
    <t>GD26-0091</t>
  </si>
  <si>
    <t>GD26-0092</t>
  </si>
  <si>
    <t>GD26-0093</t>
  </si>
  <si>
    <t>GD26-0094</t>
  </si>
  <si>
    <t>GD26-0095</t>
  </si>
  <si>
    <t>GD26-0096</t>
  </si>
  <si>
    <t>GD26-0097</t>
  </si>
  <si>
    <t>GD26-0098</t>
  </si>
  <si>
    <t>GD26-0099</t>
  </si>
  <si>
    <t>GD26-0100</t>
  </si>
  <si>
    <t>GD26-0101</t>
  </si>
  <si>
    <t>GD26-0102</t>
  </si>
  <si>
    <t>GD26-0103</t>
  </si>
  <si>
    <t>GD26-0104</t>
  </si>
  <si>
    <t>GD26-0105</t>
  </si>
  <si>
    <t>GD26-0106</t>
  </si>
  <si>
    <t>GD26-0107</t>
  </si>
  <si>
    <t>GD26-0108</t>
  </si>
  <si>
    <t>GD26-0109</t>
  </si>
  <si>
    <t>GD26-0110</t>
  </si>
  <si>
    <t>GD26-0111</t>
  </si>
  <si>
    <t>GD26-0112</t>
  </si>
  <si>
    <t>GD26-0113</t>
  </si>
  <si>
    <t>GD26-0114</t>
  </si>
  <si>
    <t>GD26-0115</t>
  </si>
  <si>
    <t>GD26-0116</t>
  </si>
  <si>
    <t>GD26-0117</t>
  </si>
  <si>
    <t>GD26-0118</t>
  </si>
  <si>
    <t>GD26-0119</t>
  </si>
  <si>
    <t>GD26-0120</t>
  </si>
  <si>
    <t>GD26-0121</t>
  </si>
  <si>
    <t>GD26-0122</t>
  </si>
  <si>
    <t>GD26-0123</t>
  </si>
  <si>
    <t>GD26-0124</t>
  </si>
  <si>
    <t>GD26-0125</t>
  </si>
  <si>
    <t>GD26-0126</t>
  </si>
  <si>
    <t>GD26-0127</t>
  </si>
  <si>
    <t>GD26-0128</t>
  </si>
  <si>
    <t>GD26-0129</t>
  </si>
  <si>
    <t>GD26-0130</t>
  </si>
  <si>
    <t>GD26-0131</t>
  </si>
  <si>
    <t>GD26-0132</t>
  </si>
  <si>
    <t>GD26-0133</t>
  </si>
  <si>
    <t>GD26-0134</t>
  </si>
  <si>
    <t>GD26-0135</t>
  </si>
  <si>
    <t>GD26-0136</t>
  </si>
  <si>
    <t>GD26-0137</t>
  </si>
  <si>
    <t>GD26-0138</t>
  </si>
  <si>
    <t>GD26-0139</t>
  </si>
  <si>
    <t>GD26-0140</t>
  </si>
  <si>
    <t>GD26-0141</t>
  </si>
  <si>
    <t>GD26-0142</t>
  </si>
  <si>
    <t>GD26-0143</t>
  </si>
  <si>
    <t>GD26-0144</t>
  </si>
  <si>
    <t>GD26-0145</t>
  </si>
  <si>
    <t>GD26-0146</t>
  </si>
  <si>
    <t>GD26-0147</t>
  </si>
  <si>
    <t>GD26-0148</t>
  </si>
  <si>
    <t>GD26-0149</t>
  </si>
  <si>
    <t>GD26-0150</t>
  </si>
  <si>
    <t>GD26-0151</t>
  </si>
  <si>
    <t>GD26-0152</t>
  </si>
  <si>
    <t>GD26-0153</t>
  </si>
  <si>
    <t>GD26-0154</t>
  </si>
  <si>
    <t>GD26-0155</t>
  </si>
  <si>
    <t>GD26-0156</t>
  </si>
  <si>
    <t>GD26-0157</t>
  </si>
  <si>
    <t>GD26-0158</t>
  </si>
  <si>
    <t>GD26-0159</t>
  </si>
  <si>
    <t>GD26-0160</t>
  </si>
  <si>
    <t>GD26-0161</t>
  </si>
  <si>
    <t>GD26-0162</t>
  </si>
  <si>
    <t>GD26-0163</t>
  </si>
  <si>
    <t>GD26-0164</t>
  </si>
  <si>
    <t>GD26-0165</t>
  </si>
  <si>
    <t>GD26-0166</t>
  </si>
  <si>
    <t>GD26-0167</t>
  </si>
  <si>
    <t>GD26-0168</t>
  </si>
  <si>
    <t>GD26-0169</t>
  </si>
  <si>
    <t>GD26-0170</t>
  </si>
  <si>
    <t>GD26-0171</t>
  </si>
  <si>
    <t>GD26-0172</t>
  </si>
  <si>
    <t>GD26-0173</t>
  </si>
  <si>
    <t>GD26-0174</t>
  </si>
  <si>
    <t>GD26-0175</t>
  </si>
  <si>
    <t>GD26-0176</t>
  </si>
  <si>
    <t>GD26-0177</t>
  </si>
  <si>
    <t>GD26-0178</t>
  </si>
  <si>
    <t>GD26-0179</t>
  </si>
  <si>
    <t>GD26-0180</t>
  </si>
  <si>
    <t>GD26-0181</t>
  </si>
  <si>
    <t>GD26-0182</t>
  </si>
  <si>
    <t>GD26-0183</t>
  </si>
  <si>
    <t>GD26-0184</t>
  </si>
  <si>
    <t>GD26-0185</t>
  </si>
  <si>
    <t>GD26-0186</t>
  </si>
  <si>
    <t>GD26-0187</t>
  </si>
  <si>
    <t>GD26-0188</t>
  </si>
  <si>
    <t>GD26-0189</t>
  </si>
  <si>
    <t>GD26-0190</t>
  </si>
  <si>
    <t>GD26-0191</t>
  </si>
  <si>
    <t>GD26-0192</t>
  </si>
  <si>
    <t>GD26-0193</t>
  </si>
  <si>
    <t>GD26-0194</t>
  </si>
  <si>
    <t>GD26-0195</t>
  </si>
  <si>
    <t>GD26-0196</t>
  </si>
  <si>
    <t>GD26-0197</t>
  </si>
  <si>
    <t>GD26-0198</t>
  </si>
  <si>
    <t>GD26-0199</t>
  </si>
  <si>
    <t>GD26-0200</t>
  </si>
  <si>
    <t>GD26-0201</t>
  </si>
  <si>
    <t>GD26-0202</t>
  </si>
  <si>
    <t>GD26-0203</t>
  </si>
  <si>
    <t>GD26-0204</t>
  </si>
  <si>
    <t>GD26-0205</t>
  </si>
  <si>
    <t>GD26-0206</t>
  </si>
  <si>
    <t>GD26-0207</t>
  </si>
  <si>
    <t>GD26-0208</t>
  </si>
  <si>
    <t>GD26-0209</t>
  </si>
  <si>
    <t>GD26-0210</t>
  </si>
  <si>
    <t>GD26-0211</t>
  </si>
  <si>
    <t>GD26-0212</t>
  </si>
  <si>
    <t>GD26-0213</t>
  </si>
  <si>
    <t>GD26-0214</t>
  </si>
  <si>
    <t>GD26-0215</t>
  </si>
  <si>
    <t>GD26-0216</t>
  </si>
  <si>
    <t>GD26-0217</t>
  </si>
  <si>
    <t>GD26-0218</t>
  </si>
  <si>
    <t>GD26-0219</t>
  </si>
  <si>
    <t>GD26-0220</t>
  </si>
  <si>
    <t>GD26-0221</t>
  </si>
  <si>
    <t>GD26-0222</t>
  </si>
  <si>
    <t>GD26-0223</t>
  </si>
  <si>
    <t>GD26-0224</t>
  </si>
  <si>
    <t>GD26-0225</t>
  </si>
  <si>
    <t>GD26-0226</t>
  </si>
  <si>
    <t>GD26-0227</t>
  </si>
  <si>
    <t>GD26-0228</t>
  </si>
  <si>
    <t>GD26-0229</t>
  </si>
  <si>
    <t>GD26-0230</t>
  </si>
  <si>
    <t>GD26-0231</t>
  </si>
  <si>
    <t>GD26-0232</t>
  </si>
  <si>
    <t>GD26-0233</t>
  </si>
  <si>
    <t>GD26-0234</t>
  </si>
  <si>
    <t>GD26-0235</t>
  </si>
  <si>
    <t>GD26-0236</t>
  </si>
  <si>
    <t>GD26-0237</t>
  </si>
  <si>
    <t>GD26-0238</t>
  </si>
  <si>
    <t>GD26-0239</t>
  </si>
  <si>
    <t>GD26-0240</t>
  </si>
  <si>
    <t>GD26-0241</t>
  </si>
  <si>
    <t>GD26-0242</t>
  </si>
  <si>
    <t>GD26-0243</t>
  </si>
  <si>
    <t>GD26-0244</t>
  </si>
  <si>
    <t>GD26-0245</t>
  </si>
  <si>
    <t>GD26-0246</t>
  </si>
  <si>
    <t>GD26-0247</t>
  </si>
  <si>
    <t>GD26-0248</t>
  </si>
  <si>
    <t>GD26-0249</t>
  </si>
  <si>
    <t>GD26-0250</t>
  </si>
  <si>
    <t>GD26-0251</t>
  </si>
  <si>
    <t>GD26-0252</t>
  </si>
  <si>
    <t>GD26-0253</t>
  </si>
  <si>
    <t>GD26-0254</t>
  </si>
  <si>
    <t>GD26-0255</t>
  </si>
  <si>
    <t>GD26-0256</t>
  </si>
  <si>
    <t>GD26-0257</t>
  </si>
  <si>
    <t>GD26-0258</t>
  </si>
  <si>
    <t>GD26-0259</t>
  </si>
  <si>
    <t>GD26-0260</t>
  </si>
  <si>
    <t>GD26-0261</t>
  </si>
  <si>
    <t>GD26-0262</t>
  </si>
  <si>
    <t>GD26-0263</t>
  </si>
  <si>
    <t>GD26-0264</t>
  </si>
  <si>
    <t>GD26-0265</t>
  </si>
  <si>
    <t>GD26-0266</t>
  </si>
  <si>
    <t>GD26-0267</t>
  </si>
  <si>
    <t>GD26-0268</t>
  </si>
  <si>
    <t>GD26-0269</t>
  </si>
  <si>
    <t>GD26-0270</t>
  </si>
  <si>
    <t>GD26-0271</t>
  </si>
  <si>
    <t>GD26-0272</t>
  </si>
  <si>
    <t>GD26-0273</t>
  </si>
  <si>
    <t>GD26-0274</t>
  </si>
  <si>
    <t>GD26-0275</t>
  </si>
  <si>
    <t>GD26-0276</t>
  </si>
  <si>
    <t>GD26-0277</t>
  </si>
  <si>
    <t>GD26-0278</t>
  </si>
  <si>
    <t>GD26-0279</t>
  </si>
  <si>
    <t>GD26-0280</t>
  </si>
  <si>
    <t>GD26-0281</t>
  </si>
  <si>
    <t>GD26-0282</t>
  </si>
  <si>
    <t>GD26-0283</t>
  </si>
  <si>
    <t>GD26-0284</t>
  </si>
  <si>
    <t>GD26-0285</t>
  </si>
  <si>
    <t>GD26-0286</t>
  </si>
  <si>
    <t>GD26-0287</t>
  </si>
  <si>
    <t>GD26-0288</t>
  </si>
  <si>
    <t>GD26-0289</t>
  </si>
  <si>
    <t>GD26-0290</t>
  </si>
  <si>
    <t>GD26-0291</t>
  </si>
  <si>
    <t>GD26-0292</t>
  </si>
  <si>
    <t>GD26-0293</t>
  </si>
  <si>
    <t>GD26-0294</t>
  </si>
  <si>
    <t>GD26-0295</t>
  </si>
  <si>
    <t>GD26-0296</t>
  </si>
  <si>
    <t>GD26-0297</t>
  </si>
  <si>
    <t>GD26-0298</t>
  </si>
  <si>
    <t>GD26-0299</t>
  </si>
  <si>
    <t>GD26-0300</t>
  </si>
  <si>
    <t>GD26-0301</t>
  </si>
  <si>
    <t>GD26-0302</t>
  </si>
  <si>
    <t>GD26-0303</t>
  </si>
  <si>
    <t>GD26-0304</t>
  </si>
  <si>
    <t>GD26-0305</t>
  </si>
  <si>
    <t>GD26-0306</t>
  </si>
  <si>
    <t>GD26-0307</t>
  </si>
  <si>
    <t>GD26-0308</t>
  </si>
  <si>
    <t>GD26-0309</t>
  </si>
  <si>
    <t>GD26-0310</t>
  </si>
  <si>
    <t>GD26-0311</t>
  </si>
  <si>
    <t>GD26-0312</t>
  </si>
  <si>
    <t>GD26-0313</t>
  </si>
  <si>
    <t>GD26-0314</t>
  </si>
  <si>
    <t>GD26-0315</t>
  </si>
  <si>
    <t>GD26-0316</t>
  </si>
  <si>
    <t>GD26-0317</t>
  </si>
  <si>
    <t>GD26-0318</t>
  </si>
  <si>
    <t>GD26-0319</t>
  </si>
  <si>
    <t>GD26-0320</t>
  </si>
  <si>
    <t>GD26-0321</t>
  </si>
  <si>
    <t>GD26-0322</t>
  </si>
  <si>
    <t>GD26-0323</t>
  </si>
  <si>
    <t>GD26-0324</t>
  </si>
  <si>
    <t>GD26-0325</t>
  </si>
  <si>
    <t>GD26-0326</t>
  </si>
  <si>
    <t>GD26-0327</t>
  </si>
  <si>
    <t>GD26-0328</t>
  </si>
  <si>
    <t>GD26-0329</t>
  </si>
  <si>
    <t>GD26-0330</t>
  </si>
  <si>
    <t>GD26-0331</t>
  </si>
  <si>
    <t>GD26-0332</t>
  </si>
  <si>
    <t>GD26-0333</t>
  </si>
  <si>
    <t>GD26-0334</t>
  </si>
  <si>
    <t>GD26-0335</t>
  </si>
  <si>
    <t>GD26-0336</t>
  </si>
  <si>
    <t>GD26-0337</t>
  </si>
  <si>
    <t>GD26-0338</t>
  </si>
  <si>
    <t>GD26-0339</t>
  </si>
  <si>
    <t>GD26-0340</t>
  </si>
  <si>
    <t>GD26-0341</t>
  </si>
  <si>
    <t>GD26-0342</t>
  </si>
  <si>
    <t>GD26-0343</t>
  </si>
  <si>
    <t>GD26-0344</t>
  </si>
  <si>
    <t>GD26-0345</t>
  </si>
  <si>
    <t>GD26-0346</t>
  </si>
  <si>
    <t>GD26-0347</t>
  </si>
  <si>
    <t>GD26-0348</t>
  </si>
  <si>
    <t>GD26-0349</t>
  </si>
  <si>
    <t>GD26-0350</t>
  </si>
  <si>
    <t>GD26-0351</t>
  </si>
  <si>
    <t>GD26-0352</t>
  </si>
  <si>
    <t>GD26-0353</t>
  </si>
  <si>
    <t>GD26-0354</t>
  </si>
  <si>
    <t>GD26-0355</t>
  </si>
  <si>
    <t>GD26-0356</t>
  </si>
  <si>
    <t>GD26-0357</t>
  </si>
  <si>
    <t>GD26-0358</t>
  </si>
  <si>
    <t>GD26-0359</t>
  </si>
  <si>
    <t>GD26-0360</t>
  </si>
  <si>
    <t>GD26-0361</t>
  </si>
  <si>
    <t>GD26-0362</t>
  </si>
  <si>
    <t>GD26-0363</t>
  </si>
  <si>
    <t>GD26-0364</t>
  </si>
  <si>
    <t>GD26-0365</t>
  </si>
  <si>
    <t>GD26-0366</t>
  </si>
  <si>
    <t>GD26-0367</t>
  </si>
  <si>
    <t>GD26-0368</t>
  </si>
  <si>
    <t>GD26-0369</t>
  </si>
  <si>
    <t>GD26-0370</t>
  </si>
  <si>
    <t>GD26-0371</t>
  </si>
  <si>
    <t>GD26-0372</t>
  </si>
  <si>
    <t>GD26-0373</t>
  </si>
  <si>
    <t>GD26-0374</t>
  </si>
  <si>
    <t>GD26-0375</t>
  </si>
  <si>
    <t>GD26-0376</t>
  </si>
  <si>
    <t>GD26-0377</t>
  </si>
  <si>
    <t>GD26-0378</t>
  </si>
  <si>
    <t>GD26-0379</t>
  </si>
  <si>
    <t>GD26-0380</t>
  </si>
  <si>
    <t>GD26-0381</t>
  </si>
  <si>
    <t>GD26-0382</t>
  </si>
  <si>
    <t>GD26-0383</t>
  </si>
  <si>
    <t>GD26-0384</t>
  </si>
  <si>
    <t>GD26-0385</t>
  </si>
  <si>
    <t>GD26-0386</t>
  </si>
  <si>
    <t>GD26-0387</t>
  </si>
  <si>
    <t>GD26-0388</t>
  </si>
  <si>
    <t>GD26-0389</t>
  </si>
  <si>
    <t>GD26-0390</t>
  </si>
  <si>
    <t>GD26-0391</t>
  </si>
  <si>
    <t>GD26-0392</t>
  </si>
  <si>
    <t>GD26-0393</t>
  </si>
  <si>
    <t>GD26-0394</t>
  </si>
  <si>
    <t>GD26-0395</t>
  </si>
  <si>
    <t>GD26-0396</t>
  </si>
  <si>
    <t>GD26-0397</t>
  </si>
  <si>
    <t>GD26-0398</t>
  </si>
  <si>
    <t>GD26-0399</t>
  </si>
  <si>
    <t>GD26-0400</t>
  </si>
  <si>
    <t>GD26-0401</t>
  </si>
  <si>
    <t>GD26-0402</t>
  </si>
  <si>
    <t>GD26-0403</t>
  </si>
  <si>
    <t>GD26-0404</t>
  </si>
  <si>
    <t>GD26-0405</t>
  </si>
  <si>
    <t>GD26-0406</t>
  </si>
  <si>
    <t>GD26-0407</t>
  </si>
  <si>
    <t>GD26-0408</t>
  </si>
  <si>
    <t>GD26-0409</t>
  </si>
  <si>
    <t>GD26-0410</t>
  </si>
  <si>
    <t>GD26-0411</t>
  </si>
  <si>
    <t>GD26-0412</t>
  </si>
  <si>
    <t>GD26-0413</t>
  </si>
  <si>
    <t>GD26-0414</t>
  </si>
  <si>
    <t>GD26-0415</t>
  </si>
  <si>
    <t>GD26-0416</t>
  </si>
  <si>
    <t>GD26-0417</t>
  </si>
  <si>
    <t>GD26-0418</t>
  </si>
  <si>
    <t>GD26-0419</t>
  </si>
  <si>
    <t>GD26-0420</t>
  </si>
  <si>
    <t>TỔNG HỢP BÁN HÀNG BẤT ĐỘNG SẢN 2026</t>
  </si>
  <si>
    <t>Dữ liệu từ 01/01/2026 đến 31/07/2026 · Chỉ tiêu doanh số tính trên giao dịch “Đã bán”</t>
  </si>
  <si>
    <t>Số GD đã bán</t>
  </si>
  <si>
    <t>Giá trị đã bán (tỷ)</t>
  </si>
  <si>
    <t>Số giao dịch</t>
  </si>
  <si>
    <t>Giá trị pipeline (tỷ)</t>
  </si>
  <si>
    <t>DASHBOARD KINH DOANH BẤT ĐỘNG SẢN</t>
  </si>
  <si>
    <t>Theo dõi hiệu quả bán hàng từ tháng 1 đến hết tháng 7/2026</t>
  </si>
  <si>
    <t>Tổng quan tập trung vào giao dịch đã bán; biểu đồ so sánh xu hướng theo tháng, kênh bán, nhân viên sales và loại hình bất động sản. Dữ liệu nguồn là bộ dữ liệu mẫu có thể lọc và thay thế trực tiếp.</t>
  </si>
  <si>
    <t>TỔNG GIAO DỊCH</t>
  </si>
  <si>
    <t>GIAO DỊCH ĐÃ BÁN</t>
  </si>
  <si>
    <t>GIÁ TRỊ ĐÃ BÁN</t>
  </si>
  <si>
    <t>TỶ LỆ CHỐT</t>
  </si>
  <si>
    <t>BÁO CÁO BÁN HÀNG BẤT ĐỘNG SẢN 2026</t>
  </si>
  <si>
    <t>Bộ dữ liệu mẫu và dashboard theo dõi từ tháng 1 đến hết tháng 7/2026</t>
  </si>
  <si>
    <t>NỘI DUNG WORKBOOK</t>
  </si>
  <si>
    <t>Dashboard</t>
  </si>
  <si>
    <t>KPI và biểu đồ theo tháng, kênh bán, sales và loại hình bất động sản.</t>
  </si>
  <si>
    <t>Giao dịch 2026</t>
  </si>
  <si>
    <t>420 giao dịch mẫu có ngày giờ, giá trị, trạng thái, hoa hồng và nguồn cung.</t>
  </si>
  <si>
    <t>Tổng hợp</t>
  </si>
  <si>
    <t>Các bảng tổng hợp động làm nguồn cho KPI và biểu đồ.</t>
  </si>
  <si>
    <t>Phạm vi</t>
  </si>
  <si>
    <t>01/01/2026–31/07/2026; doanh số dựa trên trạng thái Đã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</si>
</sst>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hh:mm"/>
    <numFmt numFmtId="165" formatCode="#,##0.0"/>
    <numFmt numFmtId="166" formatCode="#,##0.00\ &quot;tỷ&quot;"/>
    <numFmt numFmtId="167" formatCode="0.0%"/>
    <numFmt numFmtId="168" formatCode="#,##0.0\ &quot;triệu&quot;"/>
    <numFmt numFmtId="169" formatCode="mmm\ yyyy"/>
    <numFmt numFmtId="170" formatCode="#,##0.0\ &quot;tỷ&quot;"/>
  </numFmts>
  <fonts count="10" x14ac:knownFonts="1">
    <font>
      <sz val="11"/>
      <color theme="1"/>
      <name val="Arial"/>
      <family val="2"/>
      <scheme val="minor"/>
    </font>
    <font>
      <b/>
      <sz val="11"/>
      <color rgb="FFFFFFFF"/>
      <name val="Arial"/>
      <family val="2"/>
      <scheme val="minor"/>
    </font>
    <font>
      <b/>
      <sz val="18"/>
      <color rgb="FFFFFFFF"/>
      <name val="Arial"/>
      <family val="2"/>
      <scheme val="minor"/>
    </font>
    <font>
      <i/>
      <sz val="11"/>
      <color rgb="FF666666"/>
      <name val="Arial"/>
      <family val="2"/>
      <scheme val="minor"/>
    </font>
    <font>
      <b/>
      <sz val="11"/>
      <color rgb="FF17365D"/>
      <name val="Arial"/>
      <family val="2"/>
      <scheme val="minor"/>
    </font>
    <font>
      <b/>
      <sz val="22"/>
      <color rgb="FF17365D"/>
      <name val="Arial"/>
      <family val="2"/>
      <scheme val="minor"/>
    </font>
    <font>
      <b/>
      <sz val="20"/>
      <color rgb="FFFFFFFF"/>
      <name val="Arial"/>
      <family val="2"/>
      <scheme val="minor"/>
    </font>
    <font>
      <sz val="11"/>
      <color rgb="FF44546A"/>
      <name val="Arial"/>
      <family val="2"/>
      <scheme val="minor"/>
    </font>
    <font>
      <b/>
      <sz val="22"/>
      <color rgb="FFFFFFFF"/>
      <name val="Arial"/>
      <family val="2"/>
      <scheme val="minor"/>
    </font>
    <font>
      <b/>
      <sz val="11"/>
      <color rgb="FF2F75B5"/>
      <name val="Arial"/>
      <family val="2"/>
      <scheme val="minor"/>
    </font>
  </fonts>
  <fills count="7">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5F9FC"/>
        <bgColor indexed="64"/>
      </patternFill>
    </fill>
  </fills>
  <borders count="1">
    <border>
      <left/>
      <right/>
      <top/>
      <bottom/>
      <diagonal/>
    </border>
  </borders>
  <cellStyleXfs count="1">
    <xf numFmtId="0" fontId="0" fillId="0" borderId="0"/>
  </cellStyleXfs>
  <cellXfs count="26">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2" borderId="0" xfId="0" applyFont="1" applyFill="1"/>
    <xf numFmtId="169" fontId="0" fillId="0" borderId="0" xfId="0" applyNumberFormat="1"/>
    <xf numFmtId="0" fontId="2" fillId="3" borderId="0" xfId="0" applyFont="1" applyFill="1"/>
    <xf numFmtId="0" fontId="3" fillId="0" borderId="0" xfId="0" applyFont="1"/>
    <xf numFmtId="0" fontId="3" fillId="0" borderId="0" xfId="0" applyFont="1" applyAlignment="1">
      <alignment wrapText="1"/>
    </xf>
    <xf numFmtId="0" fontId="1" fillId="4" borderId="0" xfId="0" applyFont="1" applyFill="1" applyAlignment="1">
      <alignment horizontal="center" wrapText="1"/>
    </xf>
    <xf numFmtId="0" fontId="0" fillId="0" borderId="0" xfId="0" applyAlignment="1">
      <alignment horizontal="right"/>
    </xf>
    <xf numFmtId="165" fontId="0" fillId="0" borderId="0" xfId="0" applyNumberFormat="1" applyAlignment="1">
      <alignment horizontal="right"/>
    </xf>
    <xf numFmtId="0" fontId="1" fillId="4" borderId="0" xfId="0" applyFont="1" applyFill="1" applyAlignment="1">
      <alignment horizontal="right" wrapText="1"/>
    </xf>
    <xf numFmtId="0" fontId="4" fillId="5" borderId="0" xfId="0" applyFont="1" applyFill="1" applyAlignment="1">
      <alignment horizontal="center"/>
    </xf>
    <xf numFmtId="3" fontId="5" fillId="6" borderId="0" xfId="0" applyNumberFormat="1" applyFont="1" applyFill="1" applyAlignment="1">
      <alignment horizontal="center" vertical="center"/>
    </xf>
    <xf numFmtId="170" fontId="5" fillId="6" borderId="0" xfId="0" applyNumberFormat="1" applyFont="1" applyFill="1" applyAlignment="1">
      <alignment horizontal="center" vertical="center"/>
    </xf>
    <xf numFmtId="167" fontId="5" fillId="6" borderId="0" xfId="0" applyNumberFormat="1" applyFont="1" applyFill="1" applyAlignment="1">
      <alignment horizontal="center" vertical="center"/>
    </xf>
    <xf numFmtId="0" fontId="6" fillId="3" borderId="0" xfId="0" applyFont="1" applyFill="1"/>
    <xf numFmtId="0" fontId="7" fillId="0" borderId="0" xfId="0" applyFont="1" applyAlignment="1">
      <alignment wrapText="1"/>
    </xf>
    <xf numFmtId="0" fontId="8" fillId="3" borderId="0" xfId="0" applyFont="1" applyFill="1"/>
    <xf numFmtId="0" fontId="1" fillId="4" borderId="0" xfId="0" applyFont="1" applyFill="1"/>
    <xf numFmtId="0" fontId="9" fillId="0" borderId="0" xfId="0" applyFont="1"/>
    <xf numFmtId="0" fontId="7" fillId="0" borderId="0" xfId="0" applyFont="1" applyAlignment="1">
      <alignment wrapText="1"/>
    </xf>
    <xf numFmtId="0" fontId="0" fillId="0" borderId="0" xfId="0" applyAlignment="1">
      <alignment wrapText="1"/>
    </xf>
  </cellXfs>
  <cellStyles count="1">
    <cellStyle name="Normal" xfId="0" builtinId="0"/>
  </cellStyles>
  <dxfs count="7">
    <dxf>
      <font>
        <b/>
        <color rgb="FFFFFFFF"/>
      </font>
      <fill>
        <patternFill patternType="solid">
          <fgColor indexed="64"/>
          <bgColor rgb="FF1F4E78"/>
        </patternFill>
      </fill>
    </dxf>
    <dxf>
      <numFmt numFmtId="168" formatCode="#,##0.0\ &quot;triệu&quot;"/>
    </dxf>
    <dxf>
      <numFmt numFmtId="167" formatCode="0.0%"/>
    </dxf>
    <dxf>
      <numFmt numFmtId="166" formatCode="#,##0.00\ &quot;tỷ&quot;"/>
    </dxf>
    <dxf>
      <numFmt numFmtId="165" formatCode="#,##0.0"/>
    </dxf>
    <dxf>
      <numFmt numFmtId="165" formatCode="#,##0.0"/>
    </dxf>
    <dxf>
      <numFmt numFmtId="164"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GIÁ TRỊ ĐÃ BÁN THEO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lineChart>
        <c:grouping val="standard"/>
        <c:varyColors val="0"/>
        <c:ser>
          <c:idx val="0"/>
          <c:order val="0"/>
          <c:tx>
            <c:strRef>
              <c:f>'Tổng hợp'!$C$4</c:f>
              <c:strCache>
                <c:ptCount val="1"/>
                <c:pt idx="0">
                  <c:v>Giá trị đã bán (tỷ)</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'Tổng hợp'!$A$5:$A$11</c:f>
              <c:numCache>
                <c:formatCode>mmm\ yyyy</c:formatCode>
                <c:ptCount val="7"/>
                <c:pt idx="0">
                  <c:v>46023</c:v>
                </c:pt>
                <c:pt idx="1">
                  <c:v>46054</c:v>
                </c:pt>
                <c:pt idx="2">
                  <c:v>46082</c:v>
                </c:pt>
                <c:pt idx="3">
                  <c:v>46113</c:v>
                </c:pt>
                <c:pt idx="4">
                  <c:v>46143</c:v>
                </c:pt>
                <c:pt idx="5">
                  <c:v>46174</c:v>
                </c:pt>
                <c:pt idx="6">
                  <c:v>46204</c:v>
                </c:pt>
              </c:numCache>
            </c:numRef>
          </c:cat>
          <c:val>
            <c:numRef>
              <c:f>'Tổng hợp'!$C$5:$C$11</c:f>
              <c:numCache>
                <c:formatCode>#,##0.0</c:formatCode>
                <c:ptCount val="7"/>
                <c:pt idx="0">
                  <c:v>612.50996999999984</c:v>
                </c:pt>
                <c:pt idx="1">
                  <c:v>914.54867000000002</c:v>
                </c:pt>
                <c:pt idx="2">
                  <c:v>506.42466000000002</c:v>
                </c:pt>
                <c:pt idx="3">
                  <c:v>984.24165000000005</c:v>
                </c:pt>
                <c:pt idx="4">
                  <c:v>561.89882999999998</c:v>
                </c:pt>
                <c:pt idx="5">
                  <c:v>770.6788600000001</c:v>
                </c:pt>
                <c:pt idx="6">
                  <c:v>777.31238999999982</c:v>
                </c:pt>
              </c:numCache>
            </c:numRef>
          </c:val>
          <c:smooth val="0"/>
          <c:extLst>
            <c:ext xmlns:c16="http://schemas.microsoft.com/office/drawing/2014/chart" uri="{C3380CC4-5D6E-409C-BE32-E72D297353CC}">
              <c16:uniqueId val="{00000000-3EB1-475F-BD01-0C2750195063}"/>
            </c:ext>
          </c:extLst>
        </c:ser>
        <c:dLbls>
          <c:showLegendKey val="0"/>
          <c:showVal val="0"/>
          <c:showCatName val="0"/>
          <c:showSerName val="0"/>
          <c:showPercent val="0"/>
          <c:showBubbleSize val="0"/>
        </c:dLbls>
        <c:marker val="1"/>
        <c:smooth val="0"/>
        <c:axId val="1158727503"/>
        <c:axId val="969657231"/>
      </c:lineChart>
      <c:dateAx>
        <c:axId val="1158727503"/>
        <c:scaling>
          <c:orientation val="minMax"/>
        </c:scaling>
        <c:delete val="0"/>
        <c:axPos val="b"/>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969657231"/>
        <c:crosses val="autoZero"/>
        <c:auto val="0"/>
        <c:lblOffset val="100"/>
        <c:baseTimeUnit val="months"/>
      </c:dateAx>
      <c:valAx>
        <c:axId val="9696572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5872750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GIÁ TRỊ ĐÃ BÁN THEO KÊNH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tx>
            <c:strRef>
              <c:f>'Tổng hợp'!$I$4</c:f>
              <c:strCache>
                <c:ptCount val="1"/>
                <c:pt idx="0">
                  <c:v>Giá trị đã bán (tỷ)</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'Tổng hợp'!$G$5:$G$9</c:f>
              <c:strCache>
                <c:ptCount val="5"/>
                <c:pt idx="0">
                  <c:v>Digital Marketing</c:v>
                </c:pt>
                <c:pt idx="1">
                  <c:v>Môi giới liên kết</c:v>
                </c:pt>
                <c:pt idx="2">
                  <c:v>Khách hàng giới thiệu</c:v>
                </c:pt>
                <c:pt idx="3">
                  <c:v>Sự kiện / Open house</c:v>
                </c:pt>
                <c:pt idx="4">
                  <c:v>Telesales</c:v>
                </c:pt>
              </c:strCache>
            </c:strRef>
          </c:cat>
          <c:val>
            <c:numRef>
              <c:f>'Tổng hợp'!$I$5:$I$9</c:f>
              <c:numCache>
                <c:formatCode>#,##0.0</c:formatCode>
                <c:ptCount val="5"/>
                <c:pt idx="0">
                  <c:v>1266.5637499999998</c:v>
                </c:pt>
                <c:pt idx="1">
                  <c:v>991.09380999999996</c:v>
                </c:pt>
                <c:pt idx="2">
                  <c:v>868.25725999999986</c:v>
                </c:pt>
                <c:pt idx="3">
                  <c:v>1155.5137900000002</c:v>
                </c:pt>
                <c:pt idx="4">
                  <c:v>846.18642</c:v>
                </c:pt>
              </c:numCache>
            </c:numRef>
          </c:val>
          <c:extLst>
            <c:ext xmlns:c16="http://schemas.microsoft.com/office/drawing/2014/chart" uri="{C3380CC4-5D6E-409C-BE32-E72D297353CC}">
              <c16:uniqueId val="{00000000-4D6D-4E58-8938-65174C1B31AD}"/>
            </c:ext>
          </c:extLst>
        </c:ser>
        <c:dLbls>
          <c:showLegendKey val="0"/>
          <c:showVal val="0"/>
          <c:showCatName val="0"/>
          <c:showSerName val="0"/>
          <c:showPercent val="0"/>
          <c:showBubbleSize val="0"/>
        </c:dLbls>
        <c:gapWidth val="219"/>
        <c:overlap val="-27"/>
        <c:axId val="1165888735"/>
        <c:axId val="969667311"/>
      </c:barChart>
      <c:catAx>
        <c:axId val="116588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969667311"/>
        <c:crosses val="autoZero"/>
        <c:auto val="1"/>
        <c:lblAlgn val="ctr"/>
        <c:lblOffset val="100"/>
        <c:noMultiLvlLbl val="0"/>
      </c:catAx>
      <c:valAx>
        <c:axId val="9696673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6588873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GIÁ TRỊ ĐÃ BÁN THEO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tx>
            <c:strRef>
              <c:f>'Tổng hợp'!$L$4</c:f>
              <c:strCache>
                <c:ptCount val="1"/>
                <c:pt idx="0">
                  <c:v>Giá trị đã bán (tỷ)</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'Tổng hợp'!$J$5:$J$12</c:f>
              <c:strCache>
                <c:ptCount val="8"/>
                <c:pt idx="0">
                  <c:v>Nguyễn Minh Anh</c:v>
                </c:pt>
                <c:pt idx="1">
                  <c:v>Trần Quốc Bảo</c:v>
                </c:pt>
                <c:pt idx="2">
                  <c:v>Lê Thu Hà</c:v>
                </c:pt>
                <c:pt idx="3">
                  <c:v>Phạm Đức Long</c:v>
                </c:pt>
                <c:pt idx="4">
                  <c:v>Võ Ngọc Mai</c:v>
                </c:pt>
                <c:pt idx="5">
                  <c:v>Đỗ Hải Nam</c:v>
                </c:pt>
                <c:pt idx="6">
                  <c:v>Bùi Thanh Tùng</c:v>
                </c:pt>
                <c:pt idx="7">
                  <c:v>Hoàng Khánh Vy</c:v>
                </c:pt>
              </c:strCache>
            </c:strRef>
          </c:cat>
          <c:val>
            <c:numRef>
              <c:f>'Tổng hợp'!$L$5:$L$12</c:f>
              <c:numCache>
                <c:formatCode>#,##0.0</c:formatCode>
                <c:ptCount val="8"/>
                <c:pt idx="0">
                  <c:v>458.37303999999995</c:v>
                </c:pt>
                <c:pt idx="1">
                  <c:v>816.50930999999991</c:v>
                </c:pt>
                <c:pt idx="2">
                  <c:v>634.55072999999993</c:v>
                </c:pt>
                <c:pt idx="3">
                  <c:v>657.33402000000001</c:v>
                </c:pt>
                <c:pt idx="4">
                  <c:v>461.46482000000003</c:v>
                </c:pt>
                <c:pt idx="5">
                  <c:v>653.41236000000004</c:v>
                </c:pt>
                <c:pt idx="6">
                  <c:v>587.37772999999993</c:v>
                </c:pt>
                <c:pt idx="7">
                  <c:v>858.5930199999998</c:v>
                </c:pt>
              </c:numCache>
            </c:numRef>
          </c:val>
          <c:extLst>
            <c:ext xmlns:c16="http://schemas.microsoft.com/office/drawing/2014/chart" uri="{C3380CC4-5D6E-409C-BE32-E72D297353CC}">
              <c16:uniqueId val="{00000000-FECE-4CC1-BD36-8AB5AC8501BE}"/>
            </c:ext>
          </c:extLst>
        </c:ser>
        <c:dLbls>
          <c:showLegendKey val="0"/>
          <c:showVal val="0"/>
          <c:showCatName val="0"/>
          <c:showSerName val="0"/>
          <c:showPercent val="0"/>
          <c:showBubbleSize val="0"/>
        </c:dLbls>
        <c:gapWidth val="182"/>
        <c:axId val="1165798719"/>
        <c:axId val="969658671"/>
      </c:barChart>
      <c:catAx>
        <c:axId val="11657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969658671"/>
        <c:crosses val="autoZero"/>
        <c:auto val="1"/>
        <c:lblAlgn val="ctr"/>
        <c:lblOffset val="100"/>
        <c:noMultiLvlLbl val="0"/>
      </c:catAx>
      <c:valAx>
        <c:axId val="9696586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657987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GIÁ TRỊ ĐÃ BÁN THEO LOẠI BĐS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tx>
            <c:strRef>
              <c:f>'Tổng hợp'!$F$4</c:f>
              <c:strCache>
                <c:ptCount val="1"/>
                <c:pt idx="0">
                  <c:v>Giá trị đã bán (tỷ)</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'Tổng hợp'!$D$5:$D$10</c:f>
              <c:strCache>
                <c:ptCount val="6"/>
                <c:pt idx="0">
                  <c:v>Căn hộ chung cư</c:v>
                </c:pt>
                <c:pt idx="1">
                  <c:v>Đất nền</c:v>
                </c:pt>
                <c:pt idx="2">
                  <c:v>Nhà phố</c:v>
                </c:pt>
                <c:pt idx="3">
                  <c:v>Biệt thự</c:v>
                </c:pt>
                <c:pt idx="4">
                  <c:v>Shophouse</c:v>
                </c:pt>
                <c:pt idx="5">
                  <c:v>Bất động sản nghỉ dưỡng</c:v>
                </c:pt>
              </c:strCache>
            </c:strRef>
          </c:cat>
          <c:val>
            <c:numRef>
              <c:f>'Tổng hợp'!$F$5:$F$10</c:f>
              <c:numCache>
                <c:formatCode>#,##0.0</c:formatCode>
                <c:ptCount val="6"/>
                <c:pt idx="0">
                  <c:v>306.61135999999999</c:v>
                </c:pt>
                <c:pt idx="1">
                  <c:v>181.01617999999999</c:v>
                </c:pt>
                <c:pt idx="2">
                  <c:v>787.35181999999998</c:v>
                </c:pt>
                <c:pt idx="3">
                  <c:v>2317.1963099999998</c:v>
                </c:pt>
                <c:pt idx="4">
                  <c:v>1084.0320399999996</c:v>
                </c:pt>
                <c:pt idx="5">
                  <c:v>451.40731999999997</c:v>
                </c:pt>
              </c:numCache>
            </c:numRef>
          </c:val>
          <c:extLst>
            <c:ext xmlns:c16="http://schemas.microsoft.com/office/drawing/2014/chart" uri="{C3380CC4-5D6E-409C-BE32-E72D297353CC}">
              <c16:uniqueId val="{00000000-3DCA-4717-9A8B-55AB1DC9FD2B}"/>
            </c:ext>
          </c:extLst>
        </c:ser>
        <c:dLbls>
          <c:showLegendKey val="0"/>
          <c:showVal val="0"/>
          <c:showCatName val="0"/>
          <c:showSerName val="0"/>
          <c:showPercent val="0"/>
          <c:showBubbleSize val="0"/>
        </c:dLbls>
        <c:gapWidth val="182"/>
        <c:axId val="1160243855"/>
        <c:axId val="969660591"/>
      </c:barChart>
      <c:catAx>
        <c:axId val="116024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969660591"/>
        <c:crosses val="autoZero"/>
        <c:auto val="1"/>
        <c:lblAlgn val="ctr"/>
        <c:lblOffset val="100"/>
        <c:noMultiLvlLbl val="0"/>
      </c:catAx>
      <c:valAx>
        <c:axId val="9696605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6024385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0</xdr:colOff>
      <xdr:row>25</xdr:row>
      <xdr:rowOff>0</xdr:rowOff>
    </xdr:to>
    <xdr:graphicFrame macro="">
      <xdr:nvGraphicFramePr>
        <xdr:cNvPr id="2" name="Xu hướng giá trị bán theo tháng">
          <a:extLst>
            <a:ext uri="{FF2B5EF4-FFF2-40B4-BE49-F238E27FC236}">
              <a16:creationId xmlns:a16="http://schemas.microsoft.com/office/drawing/2014/main" id="{7FB1C091-3158-5886-16FC-C98A6279F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0</xdr:rowOff>
    </xdr:from>
    <xdr:to>
      <xdr:col>13</xdr:col>
      <xdr:colOff>0</xdr:colOff>
      <xdr:row>25</xdr:row>
      <xdr:rowOff>0</xdr:rowOff>
    </xdr:to>
    <xdr:graphicFrame macro="">
      <xdr:nvGraphicFramePr>
        <xdr:cNvPr id="3" name="Giá trị bán theo kênh">
          <a:extLst>
            <a:ext uri="{FF2B5EF4-FFF2-40B4-BE49-F238E27FC236}">
              <a16:creationId xmlns:a16="http://schemas.microsoft.com/office/drawing/2014/main" id="{EA0A2B6B-DE92-7791-D482-313FF62A8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6</xdr:col>
      <xdr:colOff>0</xdr:colOff>
      <xdr:row>42</xdr:row>
      <xdr:rowOff>0</xdr:rowOff>
    </xdr:to>
    <xdr:graphicFrame macro="">
      <xdr:nvGraphicFramePr>
        <xdr:cNvPr id="4" name="Hiệu quả nhân viên sales">
          <a:extLst>
            <a:ext uri="{FF2B5EF4-FFF2-40B4-BE49-F238E27FC236}">
              <a16:creationId xmlns:a16="http://schemas.microsoft.com/office/drawing/2014/main" id="{9E7FF2AF-5E83-2CAE-E6F6-8893E1115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26</xdr:row>
      <xdr:rowOff>0</xdr:rowOff>
    </xdr:from>
    <xdr:to>
      <xdr:col>13</xdr:col>
      <xdr:colOff>0</xdr:colOff>
      <xdr:row>42</xdr:row>
      <xdr:rowOff>0</xdr:rowOff>
    </xdr:to>
    <xdr:graphicFrame macro="">
      <xdr:nvGraphicFramePr>
        <xdr:cNvPr id="6" name="Giá trị bán theo loại bất động sản">
          <a:extLst>
            <a:ext uri="{FF2B5EF4-FFF2-40B4-BE49-F238E27FC236}">
              <a16:creationId xmlns:a16="http://schemas.microsoft.com/office/drawing/2014/main" id="{8802243A-6F5F-A148-F53D-59CA0A9AD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852AC-F347-4DE4-A251-FD767B2055B1}" name="tblBanHang" displayName="tblBanHang" ref="A1:O421" totalsRowShown="0" headerRowDxfId="0">
  <autoFilter ref="A1:O421" xr:uid="{A56852AC-F347-4DE4-A251-FD767B2055B1}"/>
  <tableColumns count="15">
    <tableColumn id="1" xr3:uid="{3C0C97D2-FB47-400E-B5A4-339EEBD0F6FA}" name="Mã giao dịch"/>
    <tableColumn id="2" xr3:uid="{119547CA-2CD4-4CCA-9726-354E5A7BAF1C}" name="Ngày giờ" dataDxfId="6"/>
    <tableColumn id="3" xr3:uid="{FC39074B-4110-4169-8739-9A11DC217329}" name="Tháng">
      <calculatedColumnFormula>TEXT(B2,"yyyy-mm")</calculatedColumnFormula>
    </tableColumn>
    <tableColumn id="4" xr3:uid="{0E6C6FFF-5595-489D-895C-14E425EA1E2A}" name="Sales"/>
    <tableColumn id="5" xr3:uid="{AEA03E3D-4B37-4DE5-8593-703CBE95AA9B}" name="Kênh bán"/>
    <tableColumn id="6" xr3:uid="{86EFBC95-0E20-42A1-80B7-8F5BE30DBC2D}" name="Loại BĐS"/>
    <tableColumn id="7" xr3:uid="{8986C89F-C42A-4B2E-A1CA-03B6BED17D08}" name="Dự án / Khu vực"/>
    <tableColumn id="8" xr3:uid="{590472B6-1B3C-4674-A4C6-D56FC23A0B9C}" name="Khách hàng"/>
    <tableColumn id="9" xr3:uid="{9CFF04CC-1F65-4657-89DA-155FD4480FD8}" name="Diện tích (m²)" dataDxfId="5"/>
    <tableColumn id="10" xr3:uid="{71403547-14DC-4AFA-B010-DEDE39C52B8E}" name="Đơn giá (triệu/m²)" dataDxfId="4"/>
    <tableColumn id="11" xr3:uid="{98F58AFB-1C69-4090-8F8A-D28E3294010A}" name="Giá trị GD (tỷ)" dataDxfId="3">
      <calculatedColumnFormula>I2*J2/1000</calculatedColumnFormula>
    </tableColumn>
    <tableColumn id="12" xr3:uid="{53769028-489B-44D3-8C1F-61F4436E4AC6}" name="Trạng thái"/>
    <tableColumn id="13" xr3:uid="{BA0844C2-0BBB-437F-BFBD-5941D8949CC7}" name="Tỷ lệ hoa hồng" dataDxfId="2"/>
    <tableColumn id="14" xr3:uid="{4128DFB1-C5D7-4DAD-9F69-A3C2069E3566}" name="Hoa hồng (triệu)" dataDxfId="1">
      <calculatedColumnFormula>IF(L2="Đã bán",K2*M2*1000,0)</calculatedColumnFormula>
    </tableColumn>
    <tableColumn id="15" xr3:uid="{CFDC60FF-6002-468C-A053-BD5D5B7BF98C}" name="Nguồn cu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9D75-9E10-45BD-9E03-1564BE414D0C}">
  <dimension ref="A1:H10"/>
  <sheetViews>
    <sheetView topLeftCell="A6" workbookViewId="0"/>
  </sheetViews>
  <sheetFormatPr defaultRowHeight="14" x14ac:dyDescent="0.3"/>
  <cols>
    <col min="1" max="1" width="33.33203125" customWidth="1"/>
    <col min="2" max="2" width="58.33203125" customWidth="1"/>
    <col min="3" max="8" width="4.1640625" customWidth="1"/>
  </cols>
  <sheetData>
    <row r="1" spans="1:8" x14ac:dyDescent="0.3">
      <c r="A1" s="21" t="s">
        <v>509</v>
      </c>
      <c r="B1" s="21"/>
      <c r="C1" s="21"/>
      <c r="D1" s="21"/>
      <c r="E1" s="21"/>
      <c r="F1" s="21"/>
      <c r="G1" s="21"/>
      <c r="H1" s="21"/>
    </row>
    <row r="2" spans="1:8" x14ac:dyDescent="0.3">
      <c r="A2" s="21"/>
      <c r="B2" s="21"/>
      <c r="C2" s="21"/>
      <c r="D2" s="21"/>
      <c r="E2" s="21"/>
      <c r="F2" s="21"/>
      <c r="G2" s="21"/>
      <c r="H2" s="21"/>
    </row>
    <row r="3" spans="1:8" ht="14.5" x14ac:dyDescent="0.35">
      <c r="A3" s="9" t="s">
        <v>510</v>
      </c>
      <c r="B3" s="9"/>
      <c r="C3" s="9"/>
      <c r="D3" s="9"/>
      <c r="E3" s="9"/>
      <c r="F3" s="9"/>
      <c r="G3" s="9"/>
      <c r="H3" s="9"/>
    </row>
    <row r="5" spans="1:8" x14ac:dyDescent="0.3">
      <c r="A5" s="22" t="s">
        <v>511</v>
      </c>
      <c r="B5" s="22"/>
      <c r="C5" s="22"/>
      <c r="D5" s="22"/>
      <c r="E5" s="22"/>
      <c r="F5" s="22"/>
      <c r="G5" s="22"/>
      <c r="H5" s="22"/>
    </row>
    <row r="7" spans="1:8" ht="126" x14ac:dyDescent="0.3">
      <c r="A7" s="23" t="s">
        <v>512</v>
      </c>
      <c r="B7" s="24" t="s">
        <v>513</v>
      </c>
    </row>
    <row r="8" spans="1:8" ht="126" x14ac:dyDescent="0.3">
      <c r="A8" s="23" t="s">
        <v>514</v>
      </c>
      <c r="B8" s="24" t="s">
        <v>515</v>
      </c>
    </row>
    <row r="9" spans="1:8" ht="98" x14ac:dyDescent="0.3">
      <c r="A9" s="23" t="s">
        <v>516</v>
      </c>
      <c r="B9" s="24" t="s">
        <v>517</v>
      </c>
    </row>
    <row r="10" spans="1:8" ht="98" x14ac:dyDescent="0.3">
      <c r="A10" s="23" t="s">
        <v>518</v>
      </c>
      <c r="B10" s="24" t="s">
        <v>519</v>
      </c>
    </row>
  </sheetData>
  <mergeCells count="3">
    <mergeCell ref="A1:H2"/>
    <mergeCell ref="A3:H3"/>
    <mergeCell ref="A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FAA0-2884-4891-9438-786D8561B047}">
  <dimension ref="A1:O421"/>
  <sheetViews>
    <sheetView topLeftCell="A325" workbookViewId="0">
      <selection sqref="A1:O421"/>
    </sheetView>
  </sheetViews>
  <sheetFormatPr defaultRowHeight="14" x14ac:dyDescent="0.3"/>
  <cols>
    <col min="1" max="1" width="13" customWidth="1"/>
    <col min="2" max="2" width="17.5" customWidth="1"/>
    <col min="3" max="3" width="10.83203125" customWidth="1"/>
    <col min="4" max="5" width="17.5" customWidth="1"/>
    <col min="6" max="6" width="19.1640625" customWidth="1"/>
    <col min="7" max="7" width="20" customWidth="1"/>
    <col min="8" max="8" width="16.6640625" customWidth="1"/>
    <col min="9" max="10" width="13" customWidth="1"/>
    <col min="11" max="11" width="14.6640625" customWidth="1"/>
    <col min="12" max="12" width="15" customWidth="1"/>
    <col min="13" max="14" width="14.6640625" customWidth="1"/>
    <col min="15" max="15" width="16.6640625" customWidth="1"/>
  </cols>
  <sheetData>
    <row r="1" spans="1:15"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row>
    <row r="2" spans="1:15" x14ac:dyDescent="0.3">
      <c r="A2" t="s">
        <v>15</v>
      </c>
      <c r="B2" s="1">
        <v>46025.427083333336</v>
      </c>
      <c r="C2" t="str">
        <f>TEXT(B2,"yyyy-mm")</f>
        <v>2026-01</v>
      </c>
      <c r="D2" t="s">
        <v>16</v>
      </c>
      <c r="E2" t="s">
        <v>17</v>
      </c>
      <c r="F2" t="s">
        <v>18</v>
      </c>
      <c r="G2" t="s">
        <v>19</v>
      </c>
      <c r="H2" t="s">
        <v>20</v>
      </c>
      <c r="I2" s="2">
        <v>183</v>
      </c>
      <c r="J2" s="2">
        <v>109</v>
      </c>
      <c r="K2" s="3">
        <f>I2*J2/1000</f>
        <v>19.946999999999999</v>
      </c>
      <c r="L2" t="s">
        <v>21</v>
      </c>
      <c r="M2" s="4">
        <v>0.01</v>
      </c>
      <c r="N2" s="5">
        <f>IF(L2="Đã bán",K2*M2*1000,0)</f>
        <v>199.47</v>
      </c>
      <c r="O2" t="s">
        <v>22</v>
      </c>
    </row>
    <row r="3" spans="1:15" x14ac:dyDescent="0.3">
      <c r="A3" t="s">
        <v>23</v>
      </c>
      <c r="B3" s="1">
        <v>46052.5625</v>
      </c>
      <c r="C3" t="str">
        <f t="shared" ref="C3:C66" si="0">TEXT(B3,"yyyy-mm")</f>
        <v>2026-01</v>
      </c>
      <c r="D3" t="s">
        <v>24</v>
      </c>
      <c r="E3" t="s">
        <v>17</v>
      </c>
      <c r="F3" t="s">
        <v>25</v>
      </c>
      <c r="G3" t="s">
        <v>26</v>
      </c>
      <c r="H3" t="s">
        <v>27</v>
      </c>
      <c r="I3" s="2">
        <v>50.7</v>
      </c>
      <c r="J3" s="2">
        <v>64.2</v>
      </c>
      <c r="K3" s="3">
        <f t="shared" ref="K3:K66" si="1">I3*J3/1000</f>
        <v>3.2549400000000004</v>
      </c>
      <c r="L3" t="s">
        <v>21</v>
      </c>
      <c r="M3" s="4">
        <v>0.02</v>
      </c>
      <c r="N3" s="5">
        <f t="shared" ref="N3:N66" si="2">IF(L3="Đã bán",K3*M3*1000,0)</f>
        <v>65.098800000000011</v>
      </c>
      <c r="O3" t="s">
        <v>22</v>
      </c>
    </row>
    <row r="4" spans="1:15" x14ac:dyDescent="0.3">
      <c r="A4" t="s">
        <v>28</v>
      </c>
      <c r="B4" s="1">
        <v>46032.5</v>
      </c>
      <c r="C4" t="str">
        <f t="shared" si="0"/>
        <v>2026-01</v>
      </c>
      <c r="D4" t="s">
        <v>24</v>
      </c>
      <c r="E4" t="s">
        <v>29</v>
      </c>
      <c r="F4" t="s">
        <v>30</v>
      </c>
      <c r="G4" t="s">
        <v>31</v>
      </c>
      <c r="H4" t="s">
        <v>32</v>
      </c>
      <c r="I4" s="2">
        <v>171.8</v>
      </c>
      <c r="J4" s="2">
        <v>22.6</v>
      </c>
      <c r="K4" s="3">
        <f t="shared" si="1"/>
        <v>3.8826800000000001</v>
      </c>
      <c r="L4" t="s">
        <v>21</v>
      </c>
      <c r="M4" s="4">
        <v>1.2E-2</v>
      </c>
      <c r="N4" s="5">
        <f t="shared" si="2"/>
        <v>46.59216</v>
      </c>
      <c r="O4" t="s">
        <v>33</v>
      </c>
    </row>
    <row r="5" spans="1:15" x14ac:dyDescent="0.3">
      <c r="A5" t="s">
        <v>34</v>
      </c>
      <c r="B5" s="1">
        <v>46023.489583333336</v>
      </c>
      <c r="C5" t="str">
        <f t="shared" si="0"/>
        <v>2026-01</v>
      </c>
      <c r="D5" t="s">
        <v>35</v>
      </c>
      <c r="E5" t="s">
        <v>36</v>
      </c>
      <c r="F5" t="s">
        <v>37</v>
      </c>
      <c r="G5" t="s">
        <v>38</v>
      </c>
      <c r="H5" t="s">
        <v>32</v>
      </c>
      <c r="I5" s="2">
        <v>134.6</v>
      </c>
      <c r="J5" s="2">
        <v>193.8</v>
      </c>
      <c r="K5" s="3">
        <f t="shared" si="1"/>
        <v>26.08548</v>
      </c>
      <c r="L5" t="s">
        <v>21</v>
      </c>
      <c r="M5" s="4">
        <v>1.4999999999999999E-2</v>
      </c>
      <c r="N5" s="5">
        <f t="shared" si="2"/>
        <v>391.28219999999999</v>
      </c>
      <c r="O5" t="s">
        <v>39</v>
      </c>
    </row>
    <row r="6" spans="1:15" x14ac:dyDescent="0.3">
      <c r="A6" t="s">
        <v>40</v>
      </c>
      <c r="B6" s="1">
        <v>46023.5</v>
      </c>
      <c r="C6" t="str">
        <f t="shared" si="0"/>
        <v>2026-01</v>
      </c>
      <c r="D6" t="s">
        <v>16</v>
      </c>
      <c r="E6" t="s">
        <v>41</v>
      </c>
      <c r="F6" t="s">
        <v>30</v>
      </c>
      <c r="G6" t="s">
        <v>42</v>
      </c>
      <c r="H6" t="s">
        <v>27</v>
      </c>
      <c r="I6" s="2">
        <v>81.3</v>
      </c>
      <c r="J6" s="2">
        <v>50.3</v>
      </c>
      <c r="K6" s="3">
        <f t="shared" si="1"/>
        <v>4.0893899999999999</v>
      </c>
      <c r="L6" t="s">
        <v>43</v>
      </c>
      <c r="M6" s="4">
        <v>8.0000000000000002E-3</v>
      </c>
      <c r="N6" s="5">
        <f t="shared" si="2"/>
        <v>0</v>
      </c>
      <c r="O6" t="s">
        <v>44</v>
      </c>
    </row>
    <row r="7" spans="1:15" x14ac:dyDescent="0.3">
      <c r="A7" t="s">
        <v>45</v>
      </c>
      <c r="B7" s="1">
        <v>46050.458333333336</v>
      </c>
      <c r="C7" t="str">
        <f t="shared" si="0"/>
        <v>2026-01</v>
      </c>
      <c r="D7" t="s">
        <v>46</v>
      </c>
      <c r="E7" t="s">
        <v>47</v>
      </c>
      <c r="F7" t="s">
        <v>18</v>
      </c>
      <c r="G7" t="s">
        <v>48</v>
      </c>
      <c r="H7" t="s">
        <v>49</v>
      </c>
      <c r="I7" s="2">
        <v>234</v>
      </c>
      <c r="J7" s="2">
        <v>221.6</v>
      </c>
      <c r="K7" s="3">
        <f t="shared" si="1"/>
        <v>51.854399999999998</v>
      </c>
      <c r="L7" t="s">
        <v>21</v>
      </c>
      <c r="M7" s="4">
        <v>8.0000000000000002E-3</v>
      </c>
      <c r="N7" s="5">
        <f t="shared" si="2"/>
        <v>414.83520000000004</v>
      </c>
      <c r="O7" t="s">
        <v>39</v>
      </c>
    </row>
    <row r="8" spans="1:15" x14ac:dyDescent="0.3">
      <c r="A8" t="s">
        <v>50</v>
      </c>
      <c r="B8" s="1">
        <v>46033.729166666664</v>
      </c>
      <c r="C8" t="str">
        <f t="shared" si="0"/>
        <v>2026-01</v>
      </c>
      <c r="D8" t="s">
        <v>51</v>
      </c>
      <c r="E8" t="s">
        <v>29</v>
      </c>
      <c r="F8" t="s">
        <v>52</v>
      </c>
      <c r="G8" t="s">
        <v>53</v>
      </c>
      <c r="H8" t="s">
        <v>54</v>
      </c>
      <c r="I8" s="2">
        <v>63.1</v>
      </c>
      <c r="J8" s="2">
        <v>152.4</v>
      </c>
      <c r="K8" s="3">
        <f t="shared" si="1"/>
        <v>9.6164400000000008</v>
      </c>
      <c r="L8" t="s">
        <v>55</v>
      </c>
      <c r="M8" s="4">
        <v>0.02</v>
      </c>
      <c r="N8" s="5">
        <f t="shared" si="2"/>
        <v>0</v>
      </c>
      <c r="O8" t="s">
        <v>33</v>
      </c>
    </row>
    <row r="9" spans="1:15" x14ac:dyDescent="0.3">
      <c r="A9" t="s">
        <v>56</v>
      </c>
      <c r="B9" s="1">
        <v>46029.489583333336</v>
      </c>
      <c r="C9" t="str">
        <f t="shared" si="0"/>
        <v>2026-01</v>
      </c>
      <c r="D9" t="s">
        <v>16</v>
      </c>
      <c r="E9" t="s">
        <v>47</v>
      </c>
      <c r="F9" t="s">
        <v>52</v>
      </c>
      <c r="G9" t="s">
        <v>57</v>
      </c>
      <c r="H9" t="s">
        <v>32</v>
      </c>
      <c r="I9" s="2">
        <v>170.2</v>
      </c>
      <c r="J9" s="2">
        <v>83.1</v>
      </c>
      <c r="K9" s="3">
        <f t="shared" si="1"/>
        <v>14.143619999999999</v>
      </c>
      <c r="L9" t="s">
        <v>55</v>
      </c>
      <c r="M9" s="4">
        <v>1.4999999999999999E-2</v>
      </c>
      <c r="N9" s="5">
        <f t="shared" si="2"/>
        <v>0</v>
      </c>
      <c r="O9" t="s">
        <v>44</v>
      </c>
    </row>
    <row r="10" spans="1:15" x14ac:dyDescent="0.3">
      <c r="A10" t="s">
        <v>58</v>
      </c>
      <c r="B10" s="1">
        <v>46028.53125</v>
      </c>
      <c r="C10" t="str">
        <f t="shared" si="0"/>
        <v>2026-01</v>
      </c>
      <c r="D10" t="s">
        <v>16</v>
      </c>
      <c r="E10" t="s">
        <v>29</v>
      </c>
      <c r="F10" t="s">
        <v>30</v>
      </c>
      <c r="G10" t="s">
        <v>42</v>
      </c>
      <c r="H10" t="s">
        <v>59</v>
      </c>
      <c r="I10" s="2">
        <v>123.7</v>
      </c>
      <c r="J10" s="2">
        <v>45.5</v>
      </c>
      <c r="K10" s="3">
        <f t="shared" si="1"/>
        <v>5.6283500000000002</v>
      </c>
      <c r="L10" t="s">
        <v>21</v>
      </c>
      <c r="M10" s="4">
        <v>1.4999999999999999E-2</v>
      </c>
      <c r="N10" s="5">
        <f t="shared" si="2"/>
        <v>84.425249999999991</v>
      </c>
      <c r="O10" t="s">
        <v>39</v>
      </c>
    </row>
    <row r="11" spans="1:15" x14ac:dyDescent="0.3">
      <c r="A11" t="s">
        <v>60</v>
      </c>
      <c r="B11" s="1">
        <v>46049.395833333336</v>
      </c>
      <c r="C11" t="str">
        <f t="shared" si="0"/>
        <v>2026-01</v>
      </c>
      <c r="D11" t="s">
        <v>24</v>
      </c>
      <c r="E11" t="s">
        <v>17</v>
      </c>
      <c r="F11" t="s">
        <v>25</v>
      </c>
      <c r="G11" t="s">
        <v>26</v>
      </c>
      <c r="H11" t="s">
        <v>61</v>
      </c>
      <c r="I11" s="2">
        <v>90.6</v>
      </c>
      <c r="J11" s="2">
        <v>65.7</v>
      </c>
      <c r="K11" s="3">
        <f t="shared" si="1"/>
        <v>5.95242</v>
      </c>
      <c r="L11" t="s">
        <v>21</v>
      </c>
      <c r="M11" s="4">
        <v>0.02</v>
      </c>
      <c r="N11" s="5">
        <f t="shared" si="2"/>
        <v>119.0484</v>
      </c>
      <c r="O11" t="s">
        <v>39</v>
      </c>
    </row>
    <row r="12" spans="1:15" x14ac:dyDescent="0.3">
      <c r="A12" t="s">
        <v>62</v>
      </c>
      <c r="B12" s="1">
        <v>46046.458333333336</v>
      </c>
      <c r="C12" t="str">
        <f t="shared" si="0"/>
        <v>2026-01</v>
      </c>
      <c r="D12" t="s">
        <v>16</v>
      </c>
      <c r="E12" t="s">
        <v>29</v>
      </c>
      <c r="F12" t="s">
        <v>63</v>
      </c>
      <c r="G12" t="s">
        <v>64</v>
      </c>
      <c r="H12" t="s">
        <v>65</v>
      </c>
      <c r="I12" s="2">
        <v>151.19999999999999</v>
      </c>
      <c r="J12" s="2">
        <v>141</v>
      </c>
      <c r="K12" s="3">
        <f t="shared" si="1"/>
        <v>21.319199999999999</v>
      </c>
      <c r="L12" t="s">
        <v>21</v>
      </c>
      <c r="M12" s="4">
        <v>0.02</v>
      </c>
      <c r="N12" s="5">
        <f t="shared" si="2"/>
        <v>426.38399999999996</v>
      </c>
      <c r="O12" t="s">
        <v>39</v>
      </c>
    </row>
    <row r="13" spans="1:15" x14ac:dyDescent="0.3">
      <c r="A13" t="s">
        <v>66</v>
      </c>
      <c r="B13" s="1">
        <v>46036.447916666664</v>
      </c>
      <c r="C13" t="str">
        <f t="shared" si="0"/>
        <v>2026-01</v>
      </c>
      <c r="D13" t="s">
        <v>16</v>
      </c>
      <c r="E13" t="s">
        <v>47</v>
      </c>
      <c r="F13" t="s">
        <v>63</v>
      </c>
      <c r="G13" t="s">
        <v>67</v>
      </c>
      <c r="H13" t="s">
        <v>27</v>
      </c>
      <c r="I13" s="2">
        <v>152.4</v>
      </c>
      <c r="J13" s="2">
        <v>157.30000000000001</v>
      </c>
      <c r="K13" s="3">
        <f t="shared" si="1"/>
        <v>23.972520000000003</v>
      </c>
      <c r="L13" t="s">
        <v>55</v>
      </c>
      <c r="M13" s="4">
        <v>0.01</v>
      </c>
      <c r="N13" s="5">
        <f t="shared" si="2"/>
        <v>0</v>
      </c>
      <c r="O13" t="s">
        <v>44</v>
      </c>
    </row>
    <row r="14" spans="1:15" x14ac:dyDescent="0.3">
      <c r="A14" t="s">
        <v>68</v>
      </c>
      <c r="B14" s="1">
        <v>46046.59375</v>
      </c>
      <c r="C14" t="str">
        <f t="shared" si="0"/>
        <v>2026-01</v>
      </c>
      <c r="D14" t="s">
        <v>69</v>
      </c>
      <c r="E14" t="s">
        <v>29</v>
      </c>
      <c r="F14" t="s">
        <v>37</v>
      </c>
      <c r="G14" t="s">
        <v>70</v>
      </c>
      <c r="H14" t="s">
        <v>71</v>
      </c>
      <c r="I14" s="2">
        <v>175.5</v>
      </c>
      <c r="J14" s="2">
        <v>113.8</v>
      </c>
      <c r="K14" s="3">
        <f t="shared" si="1"/>
        <v>19.971899999999998</v>
      </c>
      <c r="L14" t="s">
        <v>55</v>
      </c>
      <c r="M14" s="4">
        <v>8.0000000000000002E-3</v>
      </c>
      <c r="N14" s="5">
        <f t="shared" si="2"/>
        <v>0</v>
      </c>
      <c r="O14" t="s">
        <v>39</v>
      </c>
    </row>
    <row r="15" spans="1:15" x14ac:dyDescent="0.3">
      <c r="A15" t="s">
        <v>72</v>
      </c>
      <c r="B15" s="1">
        <v>46045.427083333336</v>
      </c>
      <c r="C15" t="str">
        <f t="shared" si="0"/>
        <v>2026-01</v>
      </c>
      <c r="D15" t="s">
        <v>73</v>
      </c>
      <c r="E15" t="s">
        <v>29</v>
      </c>
      <c r="F15" t="s">
        <v>18</v>
      </c>
      <c r="G15" t="s">
        <v>48</v>
      </c>
      <c r="H15" t="s">
        <v>74</v>
      </c>
      <c r="I15" s="2">
        <v>483.1</v>
      </c>
      <c r="J15" s="2">
        <v>181.3</v>
      </c>
      <c r="K15" s="3">
        <f t="shared" si="1"/>
        <v>87.586030000000008</v>
      </c>
      <c r="L15" t="s">
        <v>55</v>
      </c>
      <c r="M15" s="4">
        <v>1.2E-2</v>
      </c>
      <c r="N15" s="5">
        <f t="shared" si="2"/>
        <v>0</v>
      </c>
      <c r="O15" t="s">
        <v>39</v>
      </c>
    </row>
    <row r="16" spans="1:15" x14ac:dyDescent="0.3">
      <c r="A16" t="s">
        <v>75</v>
      </c>
      <c r="B16" s="1">
        <v>46030.427083333336</v>
      </c>
      <c r="C16" t="str">
        <f t="shared" si="0"/>
        <v>2026-01</v>
      </c>
      <c r="D16" t="s">
        <v>46</v>
      </c>
      <c r="E16" t="s">
        <v>41</v>
      </c>
      <c r="F16" t="s">
        <v>37</v>
      </c>
      <c r="G16" t="s">
        <v>76</v>
      </c>
      <c r="H16" t="s">
        <v>27</v>
      </c>
      <c r="I16" s="2">
        <v>116.5</v>
      </c>
      <c r="J16" s="2">
        <v>171.6</v>
      </c>
      <c r="K16" s="3">
        <f t="shared" si="1"/>
        <v>19.991399999999999</v>
      </c>
      <c r="L16" t="s">
        <v>21</v>
      </c>
      <c r="M16" s="4">
        <v>0.01</v>
      </c>
      <c r="N16" s="5">
        <f t="shared" si="2"/>
        <v>199.91399999999999</v>
      </c>
      <c r="O16" t="s">
        <v>33</v>
      </c>
    </row>
    <row r="17" spans="1:15" x14ac:dyDescent="0.3">
      <c r="A17" t="s">
        <v>77</v>
      </c>
      <c r="B17" s="1">
        <v>46043.416666666664</v>
      </c>
      <c r="C17" t="str">
        <f t="shared" si="0"/>
        <v>2026-01</v>
      </c>
      <c r="D17" t="s">
        <v>51</v>
      </c>
      <c r="E17" t="s">
        <v>17</v>
      </c>
      <c r="F17" t="s">
        <v>63</v>
      </c>
      <c r="G17" t="s">
        <v>67</v>
      </c>
      <c r="H17" t="s">
        <v>74</v>
      </c>
      <c r="I17" s="2">
        <v>154.30000000000001</v>
      </c>
      <c r="J17" s="2">
        <v>135.6</v>
      </c>
      <c r="K17" s="3">
        <f t="shared" si="1"/>
        <v>20.923080000000002</v>
      </c>
      <c r="L17" t="s">
        <v>78</v>
      </c>
      <c r="M17" s="4">
        <v>8.0000000000000002E-3</v>
      </c>
      <c r="N17" s="5">
        <f t="shared" si="2"/>
        <v>0</v>
      </c>
      <c r="O17" t="s">
        <v>79</v>
      </c>
    </row>
    <row r="18" spans="1:15" x14ac:dyDescent="0.3">
      <c r="A18" t="s">
        <v>80</v>
      </c>
      <c r="B18" s="1">
        <v>46041.770833333336</v>
      </c>
      <c r="C18" t="str">
        <f t="shared" si="0"/>
        <v>2026-01</v>
      </c>
      <c r="D18" t="s">
        <v>51</v>
      </c>
      <c r="E18" t="s">
        <v>17</v>
      </c>
      <c r="F18" t="s">
        <v>18</v>
      </c>
      <c r="G18" t="s">
        <v>19</v>
      </c>
      <c r="H18" t="s">
        <v>81</v>
      </c>
      <c r="I18" s="2">
        <v>386.6</v>
      </c>
      <c r="J18" s="2">
        <v>257.10000000000002</v>
      </c>
      <c r="K18" s="3">
        <f t="shared" si="1"/>
        <v>99.394860000000008</v>
      </c>
      <c r="L18" t="s">
        <v>55</v>
      </c>
      <c r="M18" s="4">
        <v>0.01</v>
      </c>
      <c r="N18" s="5">
        <f t="shared" si="2"/>
        <v>0</v>
      </c>
      <c r="O18" t="s">
        <v>33</v>
      </c>
    </row>
    <row r="19" spans="1:15" x14ac:dyDescent="0.3">
      <c r="A19" t="s">
        <v>82</v>
      </c>
      <c r="B19" s="1">
        <v>46036.739583333336</v>
      </c>
      <c r="C19" t="str">
        <f t="shared" si="0"/>
        <v>2026-01</v>
      </c>
      <c r="D19" t="s">
        <v>24</v>
      </c>
      <c r="E19" t="s">
        <v>41</v>
      </c>
      <c r="F19" t="s">
        <v>18</v>
      </c>
      <c r="G19" t="s">
        <v>48</v>
      </c>
      <c r="H19" t="s">
        <v>20</v>
      </c>
      <c r="I19" s="2">
        <v>311.5</v>
      </c>
      <c r="J19" s="2">
        <v>210.9</v>
      </c>
      <c r="K19" s="3">
        <f t="shared" si="1"/>
        <v>65.695350000000005</v>
      </c>
      <c r="L19" t="s">
        <v>78</v>
      </c>
      <c r="M19" s="4">
        <v>0.02</v>
      </c>
      <c r="N19" s="5">
        <f t="shared" si="2"/>
        <v>0</v>
      </c>
      <c r="O19" t="s">
        <v>44</v>
      </c>
    </row>
    <row r="20" spans="1:15" x14ac:dyDescent="0.3">
      <c r="A20" t="s">
        <v>83</v>
      </c>
      <c r="B20" s="1">
        <v>46024.645833333336</v>
      </c>
      <c r="C20" t="str">
        <f t="shared" si="0"/>
        <v>2026-01</v>
      </c>
      <c r="D20" t="s">
        <v>24</v>
      </c>
      <c r="E20" t="s">
        <v>41</v>
      </c>
      <c r="F20" t="s">
        <v>18</v>
      </c>
      <c r="G20" t="s">
        <v>84</v>
      </c>
      <c r="H20" t="s">
        <v>85</v>
      </c>
      <c r="I20" s="2">
        <v>299.60000000000002</v>
      </c>
      <c r="J20" s="2">
        <v>149.9</v>
      </c>
      <c r="K20" s="3">
        <f t="shared" si="1"/>
        <v>44.910040000000009</v>
      </c>
      <c r="L20" t="s">
        <v>78</v>
      </c>
      <c r="M20" s="4">
        <v>1.2E-2</v>
      </c>
      <c r="N20" s="5">
        <f t="shared" si="2"/>
        <v>0</v>
      </c>
      <c r="O20" t="s">
        <v>79</v>
      </c>
    </row>
    <row r="21" spans="1:15" x14ac:dyDescent="0.3">
      <c r="A21" t="s">
        <v>86</v>
      </c>
      <c r="B21" s="1">
        <v>46029.697916666664</v>
      </c>
      <c r="C21" t="str">
        <f t="shared" si="0"/>
        <v>2026-01</v>
      </c>
      <c r="D21" t="s">
        <v>73</v>
      </c>
      <c r="E21" t="s">
        <v>17</v>
      </c>
      <c r="F21" t="s">
        <v>52</v>
      </c>
      <c r="G21" t="s">
        <v>57</v>
      </c>
      <c r="H21" t="s">
        <v>59</v>
      </c>
      <c r="I21" s="2">
        <v>147</v>
      </c>
      <c r="J21" s="2">
        <v>173.7</v>
      </c>
      <c r="K21" s="3">
        <f t="shared" si="1"/>
        <v>25.533899999999999</v>
      </c>
      <c r="L21" t="s">
        <v>21</v>
      </c>
      <c r="M21" s="4">
        <v>1.4999999999999999E-2</v>
      </c>
      <c r="N21" s="5">
        <f t="shared" si="2"/>
        <v>383.00849999999997</v>
      </c>
      <c r="O21" t="s">
        <v>79</v>
      </c>
    </row>
    <row r="22" spans="1:15" x14ac:dyDescent="0.3">
      <c r="A22" t="s">
        <v>87</v>
      </c>
      <c r="B22" s="1">
        <v>46029.666666666664</v>
      </c>
      <c r="C22" t="str">
        <f t="shared" si="0"/>
        <v>2026-01</v>
      </c>
      <c r="D22" t="s">
        <v>24</v>
      </c>
      <c r="E22" t="s">
        <v>41</v>
      </c>
      <c r="F22" t="s">
        <v>63</v>
      </c>
      <c r="G22" t="s">
        <v>88</v>
      </c>
      <c r="H22" t="s">
        <v>27</v>
      </c>
      <c r="I22" s="2">
        <v>212.8</v>
      </c>
      <c r="J22" s="2">
        <v>262</v>
      </c>
      <c r="K22" s="3">
        <f t="shared" si="1"/>
        <v>55.753600000000006</v>
      </c>
      <c r="L22" t="s">
        <v>21</v>
      </c>
      <c r="M22" s="4">
        <v>8.0000000000000002E-3</v>
      </c>
      <c r="N22" s="5">
        <f t="shared" si="2"/>
        <v>446.02880000000005</v>
      </c>
      <c r="O22" t="s">
        <v>79</v>
      </c>
    </row>
    <row r="23" spans="1:15" x14ac:dyDescent="0.3">
      <c r="A23" t="s">
        <v>89</v>
      </c>
      <c r="B23" s="1">
        <v>46048.447916666664</v>
      </c>
      <c r="C23" t="str">
        <f t="shared" si="0"/>
        <v>2026-01</v>
      </c>
      <c r="D23" t="s">
        <v>24</v>
      </c>
      <c r="E23" t="s">
        <v>47</v>
      </c>
      <c r="F23" t="s">
        <v>25</v>
      </c>
      <c r="G23" t="s">
        <v>26</v>
      </c>
      <c r="H23" t="s">
        <v>74</v>
      </c>
      <c r="I23" s="2">
        <v>71.7</v>
      </c>
      <c r="J23" s="2">
        <v>97.6</v>
      </c>
      <c r="K23" s="3">
        <f t="shared" si="1"/>
        <v>6.9979199999999997</v>
      </c>
      <c r="L23" t="s">
        <v>78</v>
      </c>
      <c r="M23" s="4">
        <v>8.0000000000000002E-3</v>
      </c>
      <c r="N23" s="5">
        <f t="shared" si="2"/>
        <v>0</v>
      </c>
      <c r="O23" t="s">
        <v>79</v>
      </c>
    </row>
    <row r="24" spans="1:15" x14ac:dyDescent="0.3">
      <c r="A24" t="s">
        <v>90</v>
      </c>
      <c r="B24" s="1">
        <v>46027.479166666664</v>
      </c>
      <c r="C24" t="str">
        <f t="shared" si="0"/>
        <v>2026-01</v>
      </c>
      <c r="D24" t="s">
        <v>69</v>
      </c>
      <c r="E24" t="s">
        <v>17</v>
      </c>
      <c r="F24" t="s">
        <v>52</v>
      </c>
      <c r="G24" t="s">
        <v>53</v>
      </c>
      <c r="H24" t="s">
        <v>20</v>
      </c>
      <c r="I24" s="2">
        <v>171.9</v>
      </c>
      <c r="J24" s="2">
        <v>85.4</v>
      </c>
      <c r="K24" s="3">
        <f t="shared" si="1"/>
        <v>14.680260000000002</v>
      </c>
      <c r="L24" t="s">
        <v>78</v>
      </c>
      <c r="M24" s="4">
        <v>8.0000000000000002E-3</v>
      </c>
      <c r="N24" s="5">
        <f t="shared" si="2"/>
        <v>0</v>
      </c>
      <c r="O24" t="s">
        <v>39</v>
      </c>
    </row>
    <row r="25" spans="1:15" x14ac:dyDescent="0.3">
      <c r="A25" t="s">
        <v>91</v>
      </c>
      <c r="B25" s="1">
        <v>46023.5</v>
      </c>
      <c r="C25" t="str">
        <f t="shared" si="0"/>
        <v>2026-01</v>
      </c>
      <c r="D25" t="s">
        <v>51</v>
      </c>
      <c r="E25" t="s">
        <v>47</v>
      </c>
      <c r="F25" t="s">
        <v>52</v>
      </c>
      <c r="G25" t="s">
        <v>57</v>
      </c>
      <c r="H25" t="s">
        <v>61</v>
      </c>
      <c r="I25" s="2">
        <v>90.1</v>
      </c>
      <c r="J25" s="2">
        <v>117.2</v>
      </c>
      <c r="K25" s="3">
        <f t="shared" si="1"/>
        <v>10.559719999999999</v>
      </c>
      <c r="L25" t="s">
        <v>55</v>
      </c>
      <c r="M25" s="4">
        <v>0.02</v>
      </c>
      <c r="N25" s="5">
        <f t="shared" si="2"/>
        <v>0</v>
      </c>
      <c r="O25" t="s">
        <v>39</v>
      </c>
    </row>
    <row r="26" spans="1:15" x14ac:dyDescent="0.3">
      <c r="A26" t="s">
        <v>92</v>
      </c>
      <c r="B26" s="1">
        <v>46042.364583333336</v>
      </c>
      <c r="C26" t="str">
        <f t="shared" si="0"/>
        <v>2026-01</v>
      </c>
      <c r="D26" t="s">
        <v>73</v>
      </c>
      <c r="E26" t="s">
        <v>41</v>
      </c>
      <c r="F26" t="s">
        <v>52</v>
      </c>
      <c r="G26" t="s">
        <v>93</v>
      </c>
      <c r="H26" t="s">
        <v>81</v>
      </c>
      <c r="I26" s="2">
        <v>72.599999999999994</v>
      </c>
      <c r="J26" s="2">
        <v>165.1</v>
      </c>
      <c r="K26" s="3">
        <f t="shared" si="1"/>
        <v>11.986259999999998</v>
      </c>
      <c r="L26" t="s">
        <v>21</v>
      </c>
      <c r="M26" s="4">
        <v>0.02</v>
      </c>
      <c r="N26" s="5">
        <f t="shared" si="2"/>
        <v>239.72519999999997</v>
      </c>
      <c r="O26" t="s">
        <v>22</v>
      </c>
    </row>
    <row r="27" spans="1:15" x14ac:dyDescent="0.3">
      <c r="A27" t="s">
        <v>94</v>
      </c>
      <c r="B27" s="1">
        <v>46046.34375</v>
      </c>
      <c r="C27" t="str">
        <f t="shared" si="0"/>
        <v>2026-01</v>
      </c>
      <c r="D27" t="s">
        <v>73</v>
      </c>
      <c r="E27" t="s">
        <v>41</v>
      </c>
      <c r="F27" t="s">
        <v>18</v>
      </c>
      <c r="G27" t="s">
        <v>48</v>
      </c>
      <c r="H27" t="s">
        <v>27</v>
      </c>
      <c r="I27" s="2">
        <v>252.7</v>
      </c>
      <c r="J27" s="2">
        <v>101.7</v>
      </c>
      <c r="K27" s="3">
        <f t="shared" si="1"/>
        <v>25.699590000000001</v>
      </c>
      <c r="L27" t="s">
        <v>21</v>
      </c>
      <c r="M27" s="4">
        <v>8.0000000000000002E-3</v>
      </c>
      <c r="N27" s="5">
        <f t="shared" si="2"/>
        <v>205.59672</v>
      </c>
      <c r="O27" t="s">
        <v>39</v>
      </c>
    </row>
    <row r="28" spans="1:15" x14ac:dyDescent="0.3">
      <c r="A28" t="s">
        <v>95</v>
      </c>
      <c r="B28" s="1">
        <v>46051.604166666664</v>
      </c>
      <c r="C28" t="str">
        <f t="shared" si="0"/>
        <v>2026-01</v>
      </c>
      <c r="D28" t="s">
        <v>46</v>
      </c>
      <c r="E28" t="s">
        <v>17</v>
      </c>
      <c r="F28" t="s">
        <v>37</v>
      </c>
      <c r="G28" t="s">
        <v>76</v>
      </c>
      <c r="H28" t="s">
        <v>32</v>
      </c>
      <c r="I28" s="2">
        <v>55.2</v>
      </c>
      <c r="J28" s="2">
        <v>108.8</v>
      </c>
      <c r="K28" s="3">
        <f t="shared" si="1"/>
        <v>6.0057600000000004</v>
      </c>
      <c r="L28" t="s">
        <v>21</v>
      </c>
      <c r="M28" s="4">
        <v>0.02</v>
      </c>
      <c r="N28" s="5">
        <f t="shared" si="2"/>
        <v>120.1152</v>
      </c>
      <c r="O28" t="s">
        <v>44</v>
      </c>
    </row>
    <row r="29" spans="1:15" x14ac:dyDescent="0.3">
      <c r="A29" t="s">
        <v>96</v>
      </c>
      <c r="B29" s="1">
        <v>46030.395833333336</v>
      </c>
      <c r="C29" t="str">
        <f t="shared" si="0"/>
        <v>2026-01</v>
      </c>
      <c r="D29" t="s">
        <v>16</v>
      </c>
      <c r="E29" t="s">
        <v>17</v>
      </c>
      <c r="F29" t="s">
        <v>63</v>
      </c>
      <c r="G29" t="s">
        <v>67</v>
      </c>
      <c r="H29" t="s">
        <v>65</v>
      </c>
      <c r="I29" s="2">
        <v>160.5</v>
      </c>
      <c r="J29" s="2">
        <v>218.4</v>
      </c>
      <c r="K29" s="3">
        <f t="shared" si="1"/>
        <v>35.053200000000004</v>
      </c>
      <c r="L29" t="s">
        <v>43</v>
      </c>
      <c r="M29" s="4">
        <v>0.01</v>
      </c>
      <c r="N29" s="5">
        <f t="shared" si="2"/>
        <v>0</v>
      </c>
      <c r="O29" t="s">
        <v>44</v>
      </c>
    </row>
    <row r="30" spans="1:15" x14ac:dyDescent="0.3">
      <c r="A30" t="s">
        <v>97</v>
      </c>
      <c r="B30" s="1">
        <v>46035.583333333336</v>
      </c>
      <c r="C30" t="str">
        <f t="shared" si="0"/>
        <v>2026-01</v>
      </c>
      <c r="D30" t="s">
        <v>73</v>
      </c>
      <c r="E30" t="s">
        <v>41</v>
      </c>
      <c r="F30" t="s">
        <v>52</v>
      </c>
      <c r="G30" t="s">
        <v>93</v>
      </c>
      <c r="H30" t="s">
        <v>27</v>
      </c>
      <c r="I30" s="2">
        <v>61.7</v>
      </c>
      <c r="J30" s="2">
        <v>115.2</v>
      </c>
      <c r="K30" s="3">
        <f t="shared" si="1"/>
        <v>7.1078400000000004</v>
      </c>
      <c r="L30" t="s">
        <v>21</v>
      </c>
      <c r="M30" s="4">
        <v>0.01</v>
      </c>
      <c r="N30" s="5">
        <f t="shared" si="2"/>
        <v>71.078400000000002</v>
      </c>
      <c r="O30" t="s">
        <v>79</v>
      </c>
    </row>
    <row r="31" spans="1:15" x14ac:dyDescent="0.3">
      <c r="A31" t="s">
        <v>98</v>
      </c>
      <c r="B31" s="1">
        <v>46048.541666666664</v>
      </c>
      <c r="C31" t="str">
        <f t="shared" si="0"/>
        <v>2026-01</v>
      </c>
      <c r="D31" t="s">
        <v>35</v>
      </c>
      <c r="E31" t="s">
        <v>41</v>
      </c>
      <c r="F31" t="s">
        <v>25</v>
      </c>
      <c r="G31" t="s">
        <v>26</v>
      </c>
      <c r="H31" t="s">
        <v>54</v>
      </c>
      <c r="I31" s="2">
        <v>127.1</v>
      </c>
      <c r="J31" s="2">
        <v>97.6</v>
      </c>
      <c r="K31" s="3">
        <f t="shared" si="1"/>
        <v>12.404959999999999</v>
      </c>
      <c r="L31" t="s">
        <v>78</v>
      </c>
      <c r="M31" s="4">
        <v>1.2E-2</v>
      </c>
      <c r="N31" s="5">
        <f t="shared" si="2"/>
        <v>0</v>
      </c>
      <c r="O31" t="s">
        <v>79</v>
      </c>
    </row>
    <row r="32" spans="1:15" x14ac:dyDescent="0.3">
      <c r="A32" t="s">
        <v>99</v>
      </c>
      <c r="B32" s="1">
        <v>46030.666666666664</v>
      </c>
      <c r="C32" t="str">
        <f t="shared" si="0"/>
        <v>2026-01</v>
      </c>
      <c r="D32" t="s">
        <v>69</v>
      </c>
      <c r="E32" t="s">
        <v>41</v>
      </c>
      <c r="F32" t="s">
        <v>30</v>
      </c>
      <c r="G32" t="s">
        <v>31</v>
      </c>
      <c r="H32" t="s">
        <v>49</v>
      </c>
      <c r="I32" s="2">
        <v>89.9</v>
      </c>
      <c r="J32" s="2">
        <v>38.4</v>
      </c>
      <c r="K32" s="3">
        <f t="shared" si="1"/>
        <v>3.4521600000000001</v>
      </c>
      <c r="L32" t="s">
        <v>55</v>
      </c>
      <c r="M32" s="4">
        <v>1.2E-2</v>
      </c>
      <c r="N32" s="5">
        <f t="shared" si="2"/>
        <v>0</v>
      </c>
      <c r="O32" t="s">
        <v>79</v>
      </c>
    </row>
    <row r="33" spans="1:15" x14ac:dyDescent="0.3">
      <c r="A33" t="s">
        <v>100</v>
      </c>
      <c r="B33" s="1">
        <v>46038.583333333336</v>
      </c>
      <c r="C33" t="str">
        <f t="shared" si="0"/>
        <v>2026-01</v>
      </c>
      <c r="D33" t="s">
        <v>46</v>
      </c>
      <c r="E33" t="s">
        <v>41</v>
      </c>
      <c r="F33" t="s">
        <v>18</v>
      </c>
      <c r="G33" t="s">
        <v>64</v>
      </c>
      <c r="H33" t="s">
        <v>20</v>
      </c>
      <c r="I33" s="2">
        <v>391.2</v>
      </c>
      <c r="J33" s="2">
        <v>90.9</v>
      </c>
      <c r="K33" s="3">
        <f t="shared" si="1"/>
        <v>35.560079999999999</v>
      </c>
      <c r="L33" t="s">
        <v>55</v>
      </c>
      <c r="M33" s="4">
        <v>8.0000000000000002E-3</v>
      </c>
      <c r="N33" s="5">
        <f t="shared" si="2"/>
        <v>0</v>
      </c>
      <c r="O33" t="s">
        <v>22</v>
      </c>
    </row>
    <row r="34" spans="1:15" x14ac:dyDescent="0.3">
      <c r="A34" t="s">
        <v>101</v>
      </c>
      <c r="B34" s="1">
        <v>46039.458333333336</v>
      </c>
      <c r="C34" t="str">
        <f t="shared" si="0"/>
        <v>2026-01</v>
      </c>
      <c r="D34" t="s">
        <v>51</v>
      </c>
      <c r="E34" t="s">
        <v>29</v>
      </c>
      <c r="F34" t="s">
        <v>25</v>
      </c>
      <c r="G34" t="s">
        <v>102</v>
      </c>
      <c r="H34" t="s">
        <v>59</v>
      </c>
      <c r="I34" s="2">
        <v>94.2</v>
      </c>
      <c r="J34" s="2">
        <v>117.4</v>
      </c>
      <c r="K34" s="3">
        <f t="shared" si="1"/>
        <v>11.059080000000002</v>
      </c>
      <c r="L34" t="s">
        <v>21</v>
      </c>
      <c r="M34" s="4">
        <v>0.01</v>
      </c>
      <c r="N34" s="5">
        <f t="shared" si="2"/>
        <v>110.59080000000002</v>
      </c>
      <c r="O34" t="s">
        <v>22</v>
      </c>
    </row>
    <row r="35" spans="1:15" x14ac:dyDescent="0.3">
      <c r="A35" t="s">
        <v>103</v>
      </c>
      <c r="B35" s="1">
        <v>46037.5</v>
      </c>
      <c r="C35" t="str">
        <f t="shared" si="0"/>
        <v>2026-01</v>
      </c>
      <c r="D35" t="s">
        <v>46</v>
      </c>
      <c r="E35" t="s">
        <v>29</v>
      </c>
      <c r="F35" t="s">
        <v>25</v>
      </c>
      <c r="G35" t="s">
        <v>26</v>
      </c>
      <c r="H35" t="s">
        <v>59</v>
      </c>
      <c r="I35" s="2">
        <v>87</v>
      </c>
      <c r="J35" s="2">
        <v>94.4</v>
      </c>
      <c r="K35" s="3">
        <f t="shared" si="1"/>
        <v>8.2128000000000014</v>
      </c>
      <c r="L35" t="s">
        <v>43</v>
      </c>
      <c r="M35" s="4">
        <v>1.2E-2</v>
      </c>
      <c r="N35" s="5">
        <f t="shared" si="2"/>
        <v>0</v>
      </c>
      <c r="O35" t="s">
        <v>79</v>
      </c>
    </row>
    <row r="36" spans="1:15" x14ac:dyDescent="0.3">
      <c r="A36" t="s">
        <v>104</v>
      </c>
      <c r="B36" s="1">
        <v>46036.572916666664</v>
      </c>
      <c r="C36" t="str">
        <f t="shared" si="0"/>
        <v>2026-01</v>
      </c>
      <c r="D36" t="s">
        <v>51</v>
      </c>
      <c r="E36" t="s">
        <v>41</v>
      </c>
      <c r="F36" t="s">
        <v>63</v>
      </c>
      <c r="G36" t="s">
        <v>64</v>
      </c>
      <c r="H36" t="s">
        <v>85</v>
      </c>
      <c r="I36" s="2">
        <v>107.8</v>
      </c>
      <c r="J36" s="2">
        <v>118</v>
      </c>
      <c r="K36" s="3">
        <f t="shared" si="1"/>
        <v>12.7204</v>
      </c>
      <c r="L36" t="s">
        <v>21</v>
      </c>
      <c r="M36" s="4">
        <v>1.4999999999999999E-2</v>
      </c>
      <c r="N36" s="5">
        <f t="shared" si="2"/>
        <v>190.80599999999998</v>
      </c>
      <c r="O36" t="s">
        <v>22</v>
      </c>
    </row>
    <row r="37" spans="1:15" x14ac:dyDescent="0.3">
      <c r="A37" t="s">
        <v>105</v>
      </c>
      <c r="B37" s="1">
        <v>46039.458333333336</v>
      </c>
      <c r="C37" t="str">
        <f t="shared" si="0"/>
        <v>2026-01</v>
      </c>
      <c r="D37" t="s">
        <v>69</v>
      </c>
      <c r="E37" t="s">
        <v>17</v>
      </c>
      <c r="F37" t="s">
        <v>52</v>
      </c>
      <c r="G37" t="s">
        <v>57</v>
      </c>
      <c r="H37" t="s">
        <v>59</v>
      </c>
      <c r="I37" s="2">
        <v>55.6</v>
      </c>
      <c r="J37" s="2">
        <v>164.9</v>
      </c>
      <c r="K37" s="3">
        <f t="shared" si="1"/>
        <v>9.1684400000000004</v>
      </c>
      <c r="L37" t="s">
        <v>21</v>
      </c>
      <c r="M37" s="4">
        <v>0.01</v>
      </c>
      <c r="N37" s="5">
        <f t="shared" si="2"/>
        <v>91.684399999999997</v>
      </c>
      <c r="O37" t="s">
        <v>22</v>
      </c>
    </row>
    <row r="38" spans="1:15" x14ac:dyDescent="0.3">
      <c r="A38" t="s">
        <v>106</v>
      </c>
      <c r="B38" s="1">
        <v>46031.5</v>
      </c>
      <c r="C38" t="str">
        <f t="shared" si="0"/>
        <v>2026-01</v>
      </c>
      <c r="D38" t="s">
        <v>107</v>
      </c>
      <c r="E38" t="s">
        <v>29</v>
      </c>
      <c r="F38" t="s">
        <v>30</v>
      </c>
      <c r="G38" t="s">
        <v>42</v>
      </c>
      <c r="H38" t="s">
        <v>61</v>
      </c>
      <c r="I38" s="2">
        <v>244.3</v>
      </c>
      <c r="J38" s="2">
        <v>60.4</v>
      </c>
      <c r="K38" s="3">
        <f t="shared" si="1"/>
        <v>14.755720000000002</v>
      </c>
      <c r="L38" t="s">
        <v>43</v>
      </c>
      <c r="M38" s="4">
        <v>1.4999999999999999E-2</v>
      </c>
      <c r="N38" s="5">
        <f t="shared" si="2"/>
        <v>0</v>
      </c>
      <c r="O38" t="s">
        <v>39</v>
      </c>
    </row>
    <row r="39" spans="1:15" x14ac:dyDescent="0.3">
      <c r="A39" t="s">
        <v>108</v>
      </c>
      <c r="B39" s="1">
        <v>46050.666666666664</v>
      </c>
      <c r="C39" t="str">
        <f t="shared" si="0"/>
        <v>2026-01</v>
      </c>
      <c r="D39" t="s">
        <v>16</v>
      </c>
      <c r="E39" t="s">
        <v>36</v>
      </c>
      <c r="F39" t="s">
        <v>52</v>
      </c>
      <c r="G39" t="s">
        <v>109</v>
      </c>
      <c r="H39" t="s">
        <v>32</v>
      </c>
      <c r="I39" s="2">
        <v>116.7</v>
      </c>
      <c r="J39" s="2">
        <v>174.9</v>
      </c>
      <c r="K39" s="3">
        <f t="shared" si="1"/>
        <v>20.410830000000001</v>
      </c>
      <c r="L39" t="s">
        <v>21</v>
      </c>
      <c r="M39" s="4">
        <v>0.02</v>
      </c>
      <c r="N39" s="5">
        <f t="shared" si="2"/>
        <v>408.21660000000003</v>
      </c>
      <c r="O39" t="s">
        <v>22</v>
      </c>
    </row>
    <row r="40" spans="1:15" x14ac:dyDescent="0.3">
      <c r="A40" t="s">
        <v>110</v>
      </c>
      <c r="B40" s="1">
        <v>46024.489583333336</v>
      </c>
      <c r="C40" t="str">
        <f t="shared" si="0"/>
        <v>2026-01</v>
      </c>
      <c r="D40" t="s">
        <v>24</v>
      </c>
      <c r="E40" t="s">
        <v>29</v>
      </c>
      <c r="F40" t="s">
        <v>63</v>
      </c>
      <c r="G40" t="s">
        <v>64</v>
      </c>
      <c r="H40" t="s">
        <v>74</v>
      </c>
      <c r="I40" s="2">
        <v>149.19999999999999</v>
      </c>
      <c r="J40" s="2">
        <v>199.4</v>
      </c>
      <c r="K40" s="3">
        <f t="shared" si="1"/>
        <v>29.75048</v>
      </c>
      <c r="L40" t="s">
        <v>21</v>
      </c>
      <c r="M40" s="4">
        <v>1.4999999999999999E-2</v>
      </c>
      <c r="N40" s="5">
        <f t="shared" si="2"/>
        <v>446.25719999999995</v>
      </c>
      <c r="O40" t="s">
        <v>44</v>
      </c>
    </row>
    <row r="41" spans="1:15" x14ac:dyDescent="0.3">
      <c r="A41" t="s">
        <v>111</v>
      </c>
      <c r="B41" s="1">
        <v>46033.645833333336</v>
      </c>
      <c r="C41" t="str">
        <f t="shared" si="0"/>
        <v>2026-01</v>
      </c>
      <c r="D41" t="s">
        <v>46</v>
      </c>
      <c r="E41" t="s">
        <v>36</v>
      </c>
      <c r="F41" t="s">
        <v>25</v>
      </c>
      <c r="G41" t="s">
        <v>67</v>
      </c>
      <c r="H41" t="s">
        <v>61</v>
      </c>
      <c r="I41" s="2">
        <v>101.7</v>
      </c>
      <c r="J41" s="2">
        <v>58.1</v>
      </c>
      <c r="K41" s="3">
        <f t="shared" si="1"/>
        <v>5.9087700000000005</v>
      </c>
      <c r="L41" t="s">
        <v>21</v>
      </c>
      <c r="M41" s="4">
        <v>8.0000000000000002E-3</v>
      </c>
      <c r="N41" s="5">
        <f t="shared" si="2"/>
        <v>47.270160000000004</v>
      </c>
      <c r="O41" t="s">
        <v>39</v>
      </c>
    </row>
    <row r="42" spans="1:15" x14ac:dyDescent="0.3">
      <c r="A42" t="s">
        <v>112</v>
      </c>
      <c r="B42" s="1">
        <v>46031.552083333336</v>
      </c>
      <c r="C42" t="str">
        <f t="shared" si="0"/>
        <v>2026-01</v>
      </c>
      <c r="D42" t="s">
        <v>46</v>
      </c>
      <c r="E42" t="s">
        <v>36</v>
      </c>
      <c r="F42" t="s">
        <v>52</v>
      </c>
      <c r="G42" t="s">
        <v>93</v>
      </c>
      <c r="H42" t="s">
        <v>27</v>
      </c>
      <c r="I42" s="2">
        <v>115.2</v>
      </c>
      <c r="J42" s="2">
        <v>148.80000000000001</v>
      </c>
      <c r="K42" s="3">
        <f t="shared" si="1"/>
        <v>17.141760000000001</v>
      </c>
      <c r="L42" t="s">
        <v>21</v>
      </c>
      <c r="M42" s="4">
        <v>1.2E-2</v>
      </c>
      <c r="N42" s="5">
        <f t="shared" si="2"/>
        <v>205.70112</v>
      </c>
      <c r="O42" t="s">
        <v>44</v>
      </c>
    </row>
    <row r="43" spans="1:15" x14ac:dyDescent="0.3">
      <c r="A43" t="s">
        <v>113</v>
      </c>
      <c r="B43" s="1">
        <v>46049.520833333336</v>
      </c>
      <c r="C43" t="str">
        <f t="shared" si="0"/>
        <v>2026-01</v>
      </c>
      <c r="D43" t="s">
        <v>46</v>
      </c>
      <c r="E43" t="s">
        <v>29</v>
      </c>
      <c r="F43" t="s">
        <v>52</v>
      </c>
      <c r="G43" t="s">
        <v>109</v>
      </c>
      <c r="H43" t="s">
        <v>74</v>
      </c>
      <c r="I43" s="2">
        <v>140.9</v>
      </c>
      <c r="J43" s="2">
        <v>94.4</v>
      </c>
      <c r="K43" s="3">
        <f t="shared" si="1"/>
        <v>13.300960000000002</v>
      </c>
      <c r="L43" t="s">
        <v>78</v>
      </c>
      <c r="M43" s="4">
        <v>0.01</v>
      </c>
      <c r="N43" s="5">
        <f t="shared" si="2"/>
        <v>0</v>
      </c>
      <c r="O43" t="s">
        <v>33</v>
      </c>
    </row>
    <row r="44" spans="1:15" x14ac:dyDescent="0.3">
      <c r="A44" t="s">
        <v>114</v>
      </c>
      <c r="B44" s="1">
        <v>46023.78125</v>
      </c>
      <c r="C44" t="str">
        <f t="shared" si="0"/>
        <v>2026-01</v>
      </c>
      <c r="D44" t="s">
        <v>51</v>
      </c>
      <c r="E44" t="s">
        <v>41</v>
      </c>
      <c r="F44" t="s">
        <v>37</v>
      </c>
      <c r="G44" t="s">
        <v>76</v>
      </c>
      <c r="H44" t="s">
        <v>54</v>
      </c>
      <c r="I44" s="2">
        <v>160.69999999999999</v>
      </c>
      <c r="J44" s="2">
        <v>229.9</v>
      </c>
      <c r="K44" s="3">
        <f t="shared" si="1"/>
        <v>36.944929999999999</v>
      </c>
      <c r="L44" t="s">
        <v>55</v>
      </c>
      <c r="M44" s="4">
        <v>1.4999999999999999E-2</v>
      </c>
      <c r="N44" s="5">
        <f t="shared" si="2"/>
        <v>0</v>
      </c>
      <c r="O44" t="s">
        <v>44</v>
      </c>
    </row>
    <row r="45" spans="1:15" x14ac:dyDescent="0.3">
      <c r="A45" t="s">
        <v>115</v>
      </c>
      <c r="B45" s="1">
        <v>46025.572916666664</v>
      </c>
      <c r="C45" t="str">
        <f t="shared" si="0"/>
        <v>2026-01</v>
      </c>
      <c r="D45" t="s">
        <v>73</v>
      </c>
      <c r="E45" t="s">
        <v>36</v>
      </c>
      <c r="F45" t="s">
        <v>52</v>
      </c>
      <c r="G45" t="s">
        <v>57</v>
      </c>
      <c r="H45" t="s">
        <v>74</v>
      </c>
      <c r="I45" s="2">
        <v>154.1</v>
      </c>
      <c r="J45" s="2">
        <v>92.8</v>
      </c>
      <c r="K45" s="3">
        <f t="shared" si="1"/>
        <v>14.30048</v>
      </c>
      <c r="L45" t="s">
        <v>21</v>
      </c>
      <c r="M45" s="4">
        <v>8.0000000000000002E-3</v>
      </c>
      <c r="N45" s="5">
        <f t="shared" si="2"/>
        <v>114.40384</v>
      </c>
      <c r="O45" t="s">
        <v>79</v>
      </c>
    </row>
    <row r="46" spans="1:15" x14ac:dyDescent="0.3">
      <c r="A46" t="s">
        <v>116</v>
      </c>
      <c r="B46" s="1">
        <v>46035.552083333336</v>
      </c>
      <c r="C46" t="str">
        <f t="shared" si="0"/>
        <v>2026-01</v>
      </c>
      <c r="D46" t="s">
        <v>69</v>
      </c>
      <c r="E46" t="s">
        <v>29</v>
      </c>
      <c r="F46" t="s">
        <v>18</v>
      </c>
      <c r="G46" t="s">
        <v>19</v>
      </c>
      <c r="H46" t="s">
        <v>20</v>
      </c>
      <c r="I46" s="2">
        <v>296.89999999999998</v>
      </c>
      <c r="J46" s="2">
        <v>112.4</v>
      </c>
      <c r="K46" s="3">
        <f t="shared" si="1"/>
        <v>33.371559999999995</v>
      </c>
      <c r="L46" t="s">
        <v>78</v>
      </c>
      <c r="M46" s="4">
        <v>8.0000000000000002E-3</v>
      </c>
      <c r="N46" s="5">
        <f t="shared" si="2"/>
        <v>0</v>
      </c>
      <c r="O46" t="s">
        <v>79</v>
      </c>
    </row>
    <row r="47" spans="1:15" x14ac:dyDescent="0.3">
      <c r="A47" t="s">
        <v>117</v>
      </c>
      <c r="B47" s="1">
        <v>46047.572916666664</v>
      </c>
      <c r="C47" t="str">
        <f t="shared" si="0"/>
        <v>2026-01</v>
      </c>
      <c r="D47" t="s">
        <v>24</v>
      </c>
      <c r="E47" t="s">
        <v>36</v>
      </c>
      <c r="F47" t="s">
        <v>18</v>
      </c>
      <c r="G47" t="s">
        <v>48</v>
      </c>
      <c r="H47" t="s">
        <v>27</v>
      </c>
      <c r="I47" s="2">
        <v>262</v>
      </c>
      <c r="J47" s="2">
        <v>229.4</v>
      </c>
      <c r="K47" s="3">
        <f t="shared" si="1"/>
        <v>60.102800000000002</v>
      </c>
      <c r="L47" t="s">
        <v>21</v>
      </c>
      <c r="M47" s="4">
        <v>1.4999999999999999E-2</v>
      </c>
      <c r="N47" s="5">
        <f t="shared" si="2"/>
        <v>901.54199999999992</v>
      </c>
      <c r="O47" t="s">
        <v>33</v>
      </c>
    </row>
    <row r="48" spans="1:15" x14ac:dyDescent="0.3">
      <c r="A48" t="s">
        <v>118</v>
      </c>
      <c r="B48" s="1">
        <v>46035.385416666664</v>
      </c>
      <c r="C48" t="str">
        <f t="shared" si="0"/>
        <v>2026-01</v>
      </c>
      <c r="D48" t="s">
        <v>24</v>
      </c>
      <c r="E48" t="s">
        <v>41</v>
      </c>
      <c r="F48" t="s">
        <v>52</v>
      </c>
      <c r="G48" t="s">
        <v>53</v>
      </c>
      <c r="H48" t="s">
        <v>32</v>
      </c>
      <c r="I48" s="2">
        <v>126.8</v>
      </c>
      <c r="J48" s="2">
        <v>128.4</v>
      </c>
      <c r="K48" s="3">
        <f t="shared" si="1"/>
        <v>16.281120000000001</v>
      </c>
      <c r="L48" t="s">
        <v>43</v>
      </c>
      <c r="M48" s="4">
        <v>0.02</v>
      </c>
      <c r="N48" s="5">
        <f t="shared" si="2"/>
        <v>0</v>
      </c>
      <c r="O48" t="s">
        <v>22</v>
      </c>
    </row>
    <row r="49" spans="1:15" x14ac:dyDescent="0.3">
      <c r="A49" t="s">
        <v>119</v>
      </c>
      <c r="B49" s="1">
        <v>46052.635416666664</v>
      </c>
      <c r="C49" t="str">
        <f t="shared" si="0"/>
        <v>2026-01</v>
      </c>
      <c r="D49" t="s">
        <v>73</v>
      </c>
      <c r="E49" t="s">
        <v>47</v>
      </c>
      <c r="F49" t="s">
        <v>63</v>
      </c>
      <c r="G49" t="s">
        <v>67</v>
      </c>
      <c r="H49" t="s">
        <v>27</v>
      </c>
      <c r="I49" s="2">
        <v>196.4</v>
      </c>
      <c r="J49" s="2">
        <v>173.4</v>
      </c>
      <c r="K49" s="3">
        <f t="shared" si="1"/>
        <v>34.055759999999999</v>
      </c>
      <c r="L49" t="s">
        <v>43</v>
      </c>
      <c r="M49" s="4">
        <v>0.02</v>
      </c>
      <c r="N49" s="5">
        <f t="shared" si="2"/>
        <v>0</v>
      </c>
      <c r="O49" t="s">
        <v>39</v>
      </c>
    </row>
    <row r="50" spans="1:15" x14ac:dyDescent="0.3">
      <c r="A50" t="s">
        <v>120</v>
      </c>
      <c r="B50" s="1">
        <v>46045.65625</v>
      </c>
      <c r="C50" t="str">
        <f t="shared" si="0"/>
        <v>2026-01</v>
      </c>
      <c r="D50" t="s">
        <v>69</v>
      </c>
      <c r="E50" t="s">
        <v>29</v>
      </c>
      <c r="F50" t="s">
        <v>18</v>
      </c>
      <c r="G50" t="s">
        <v>19</v>
      </c>
      <c r="H50" t="s">
        <v>54</v>
      </c>
      <c r="I50" s="2">
        <v>351.2</v>
      </c>
      <c r="J50" s="2">
        <v>121.6</v>
      </c>
      <c r="K50" s="3">
        <f t="shared" si="1"/>
        <v>42.705919999999999</v>
      </c>
      <c r="L50" t="s">
        <v>21</v>
      </c>
      <c r="M50" s="4">
        <v>8.0000000000000002E-3</v>
      </c>
      <c r="N50" s="5">
        <f t="shared" si="2"/>
        <v>341.64735999999999</v>
      </c>
      <c r="O50" t="s">
        <v>44</v>
      </c>
    </row>
    <row r="51" spans="1:15" x14ac:dyDescent="0.3">
      <c r="A51" t="s">
        <v>121</v>
      </c>
      <c r="B51" s="1">
        <v>46043.697916666664</v>
      </c>
      <c r="C51" t="str">
        <f t="shared" si="0"/>
        <v>2026-01</v>
      </c>
      <c r="D51" t="s">
        <v>51</v>
      </c>
      <c r="E51" t="s">
        <v>36</v>
      </c>
      <c r="F51" t="s">
        <v>63</v>
      </c>
      <c r="G51" t="s">
        <v>122</v>
      </c>
      <c r="H51" t="s">
        <v>54</v>
      </c>
      <c r="I51" s="2">
        <v>194.2</v>
      </c>
      <c r="J51" s="2">
        <v>119.7</v>
      </c>
      <c r="K51" s="3">
        <f t="shared" si="1"/>
        <v>23.245739999999998</v>
      </c>
      <c r="L51" t="s">
        <v>55</v>
      </c>
      <c r="M51" s="4">
        <v>8.0000000000000002E-3</v>
      </c>
      <c r="N51" s="5">
        <f t="shared" si="2"/>
        <v>0</v>
      </c>
      <c r="O51" t="s">
        <v>39</v>
      </c>
    </row>
    <row r="52" spans="1:15" x14ac:dyDescent="0.3">
      <c r="A52" t="s">
        <v>123</v>
      </c>
      <c r="B52" s="1">
        <v>46035.34375</v>
      </c>
      <c r="C52" t="str">
        <f t="shared" si="0"/>
        <v>2026-01</v>
      </c>
      <c r="D52" t="s">
        <v>35</v>
      </c>
      <c r="E52" t="s">
        <v>47</v>
      </c>
      <c r="F52" t="s">
        <v>63</v>
      </c>
      <c r="G52" t="s">
        <v>64</v>
      </c>
      <c r="H52" t="s">
        <v>49</v>
      </c>
      <c r="I52" s="2">
        <v>128.69999999999999</v>
      </c>
      <c r="J52" s="2">
        <v>156.69999999999999</v>
      </c>
      <c r="K52" s="3">
        <f t="shared" si="1"/>
        <v>20.167289999999998</v>
      </c>
      <c r="L52" t="s">
        <v>21</v>
      </c>
      <c r="M52" s="4">
        <v>0.02</v>
      </c>
      <c r="N52" s="5">
        <f t="shared" si="2"/>
        <v>403.3458</v>
      </c>
      <c r="O52" t="s">
        <v>22</v>
      </c>
    </row>
    <row r="53" spans="1:15" x14ac:dyDescent="0.3">
      <c r="A53" t="s">
        <v>124</v>
      </c>
      <c r="B53" s="1">
        <v>46026.71875</v>
      </c>
      <c r="C53" t="str">
        <f t="shared" si="0"/>
        <v>2026-01</v>
      </c>
      <c r="D53" t="s">
        <v>107</v>
      </c>
      <c r="E53" t="s">
        <v>47</v>
      </c>
      <c r="F53" t="s">
        <v>52</v>
      </c>
      <c r="G53" t="s">
        <v>57</v>
      </c>
      <c r="H53" t="s">
        <v>32</v>
      </c>
      <c r="I53" s="2">
        <v>53.2</v>
      </c>
      <c r="J53" s="2">
        <v>178</v>
      </c>
      <c r="K53" s="3">
        <f t="shared" si="1"/>
        <v>9.4695999999999998</v>
      </c>
      <c r="L53" t="s">
        <v>21</v>
      </c>
      <c r="M53" s="4">
        <v>1.2E-2</v>
      </c>
      <c r="N53" s="5">
        <f t="shared" si="2"/>
        <v>113.63520000000001</v>
      </c>
      <c r="O53" t="s">
        <v>79</v>
      </c>
    </row>
    <row r="54" spans="1:15" x14ac:dyDescent="0.3">
      <c r="A54" t="s">
        <v>125</v>
      </c>
      <c r="B54" s="1">
        <v>46033.6875</v>
      </c>
      <c r="C54" t="str">
        <f t="shared" si="0"/>
        <v>2026-01</v>
      </c>
      <c r="D54" t="s">
        <v>46</v>
      </c>
      <c r="E54" t="s">
        <v>29</v>
      </c>
      <c r="F54" t="s">
        <v>63</v>
      </c>
      <c r="G54" t="s">
        <v>88</v>
      </c>
      <c r="H54" t="s">
        <v>32</v>
      </c>
      <c r="I54" s="2">
        <v>157.6</v>
      </c>
      <c r="J54" s="2">
        <v>153.5</v>
      </c>
      <c r="K54" s="3">
        <f t="shared" si="1"/>
        <v>24.191599999999998</v>
      </c>
      <c r="L54" t="s">
        <v>78</v>
      </c>
      <c r="M54" s="4">
        <v>1.4999999999999999E-2</v>
      </c>
      <c r="N54" s="5">
        <f t="shared" si="2"/>
        <v>0</v>
      </c>
      <c r="O54" t="s">
        <v>22</v>
      </c>
    </row>
    <row r="55" spans="1:15" x14ac:dyDescent="0.3">
      <c r="A55" t="s">
        <v>126</v>
      </c>
      <c r="B55" s="1">
        <v>46051.552083333336</v>
      </c>
      <c r="C55" t="str">
        <f t="shared" si="0"/>
        <v>2026-01</v>
      </c>
      <c r="D55" t="s">
        <v>69</v>
      </c>
      <c r="E55" t="s">
        <v>29</v>
      </c>
      <c r="F55" t="s">
        <v>52</v>
      </c>
      <c r="G55" t="s">
        <v>109</v>
      </c>
      <c r="H55" t="s">
        <v>81</v>
      </c>
      <c r="I55" s="2">
        <v>66</v>
      </c>
      <c r="J55" s="2">
        <v>93.6</v>
      </c>
      <c r="K55" s="3">
        <f t="shared" si="1"/>
        <v>6.1775999999999991</v>
      </c>
      <c r="L55" t="s">
        <v>21</v>
      </c>
      <c r="M55" s="4">
        <v>1.4999999999999999E-2</v>
      </c>
      <c r="N55" s="5">
        <f t="shared" si="2"/>
        <v>92.663999999999987</v>
      </c>
      <c r="O55" t="s">
        <v>33</v>
      </c>
    </row>
    <row r="56" spans="1:15" x14ac:dyDescent="0.3">
      <c r="A56" t="s">
        <v>127</v>
      </c>
      <c r="B56" s="1">
        <v>46035.53125</v>
      </c>
      <c r="C56" t="str">
        <f t="shared" si="0"/>
        <v>2026-01</v>
      </c>
      <c r="D56" t="s">
        <v>51</v>
      </c>
      <c r="E56" t="s">
        <v>41</v>
      </c>
      <c r="F56" t="s">
        <v>30</v>
      </c>
      <c r="G56" t="s">
        <v>31</v>
      </c>
      <c r="H56" t="s">
        <v>71</v>
      </c>
      <c r="I56" s="2">
        <v>187.1</v>
      </c>
      <c r="J56" s="2">
        <v>19.399999999999999</v>
      </c>
      <c r="K56" s="3">
        <f t="shared" si="1"/>
        <v>3.62974</v>
      </c>
      <c r="L56" t="s">
        <v>21</v>
      </c>
      <c r="M56" s="4">
        <v>0.02</v>
      </c>
      <c r="N56" s="5">
        <f t="shared" si="2"/>
        <v>72.594800000000006</v>
      </c>
      <c r="O56" t="s">
        <v>79</v>
      </c>
    </row>
    <row r="57" spans="1:15" x14ac:dyDescent="0.3">
      <c r="A57" t="s">
        <v>128</v>
      </c>
      <c r="B57" s="1">
        <v>46045.510416666664</v>
      </c>
      <c r="C57" t="str">
        <f t="shared" si="0"/>
        <v>2026-01</v>
      </c>
      <c r="D57" t="s">
        <v>46</v>
      </c>
      <c r="E57" t="s">
        <v>29</v>
      </c>
      <c r="F57" t="s">
        <v>52</v>
      </c>
      <c r="G57" t="s">
        <v>57</v>
      </c>
      <c r="H57" t="s">
        <v>71</v>
      </c>
      <c r="I57" s="2">
        <v>144.30000000000001</v>
      </c>
      <c r="J57" s="2">
        <v>163.6</v>
      </c>
      <c r="K57" s="3">
        <f t="shared" si="1"/>
        <v>23.607479999999999</v>
      </c>
      <c r="L57" t="s">
        <v>21</v>
      </c>
      <c r="M57" s="4">
        <v>1.4999999999999999E-2</v>
      </c>
      <c r="N57" s="5">
        <f t="shared" si="2"/>
        <v>354.11219999999997</v>
      </c>
      <c r="O57" t="s">
        <v>22</v>
      </c>
    </row>
    <row r="58" spans="1:15" x14ac:dyDescent="0.3">
      <c r="A58" t="s">
        <v>129</v>
      </c>
      <c r="B58" s="1">
        <v>46039.395833333336</v>
      </c>
      <c r="C58" t="str">
        <f t="shared" si="0"/>
        <v>2026-01</v>
      </c>
      <c r="D58" t="s">
        <v>51</v>
      </c>
      <c r="E58" t="s">
        <v>41</v>
      </c>
      <c r="F58" t="s">
        <v>30</v>
      </c>
      <c r="G58" t="s">
        <v>42</v>
      </c>
      <c r="H58" t="s">
        <v>20</v>
      </c>
      <c r="I58" s="2">
        <v>120.1</v>
      </c>
      <c r="J58" s="2">
        <v>24.5</v>
      </c>
      <c r="K58" s="3">
        <f t="shared" si="1"/>
        <v>2.94245</v>
      </c>
      <c r="L58" t="s">
        <v>55</v>
      </c>
      <c r="M58" s="4">
        <v>1.2E-2</v>
      </c>
      <c r="N58" s="5">
        <f t="shared" si="2"/>
        <v>0</v>
      </c>
      <c r="O58" t="s">
        <v>22</v>
      </c>
    </row>
    <row r="59" spans="1:15" x14ac:dyDescent="0.3">
      <c r="A59" t="s">
        <v>130</v>
      </c>
      <c r="B59" s="1">
        <v>46033.71875</v>
      </c>
      <c r="C59" t="str">
        <f t="shared" si="0"/>
        <v>2026-01</v>
      </c>
      <c r="D59" t="s">
        <v>69</v>
      </c>
      <c r="E59" t="s">
        <v>36</v>
      </c>
      <c r="F59" t="s">
        <v>25</v>
      </c>
      <c r="G59" t="s">
        <v>26</v>
      </c>
      <c r="H59" t="s">
        <v>49</v>
      </c>
      <c r="I59" s="2">
        <v>114.3</v>
      </c>
      <c r="J59" s="2">
        <v>108.6</v>
      </c>
      <c r="K59" s="3">
        <f t="shared" si="1"/>
        <v>12.412979999999999</v>
      </c>
      <c r="L59" t="s">
        <v>55</v>
      </c>
      <c r="M59" s="4">
        <v>0.01</v>
      </c>
      <c r="N59" s="5">
        <f t="shared" si="2"/>
        <v>0</v>
      </c>
      <c r="O59" t="s">
        <v>79</v>
      </c>
    </row>
    <row r="60" spans="1:15" x14ac:dyDescent="0.3">
      <c r="A60" t="s">
        <v>131</v>
      </c>
      <c r="B60" s="1">
        <v>46044.708333333336</v>
      </c>
      <c r="C60" t="str">
        <f t="shared" si="0"/>
        <v>2026-01</v>
      </c>
      <c r="D60" t="s">
        <v>107</v>
      </c>
      <c r="E60" t="s">
        <v>29</v>
      </c>
      <c r="F60" t="s">
        <v>18</v>
      </c>
      <c r="G60" t="s">
        <v>84</v>
      </c>
      <c r="H60" t="s">
        <v>85</v>
      </c>
      <c r="I60" s="2">
        <v>304.60000000000002</v>
      </c>
      <c r="J60" s="2">
        <v>118.8</v>
      </c>
      <c r="K60" s="3">
        <f t="shared" si="1"/>
        <v>36.186480000000003</v>
      </c>
      <c r="L60" t="s">
        <v>21</v>
      </c>
      <c r="M60" s="4">
        <v>1.4999999999999999E-2</v>
      </c>
      <c r="N60" s="5">
        <f t="shared" si="2"/>
        <v>542.79719999999998</v>
      </c>
      <c r="O60" t="s">
        <v>33</v>
      </c>
    </row>
    <row r="61" spans="1:15" x14ac:dyDescent="0.3">
      <c r="A61" t="s">
        <v>132</v>
      </c>
      <c r="B61" s="1">
        <v>46047.59375</v>
      </c>
      <c r="C61" t="str">
        <f t="shared" si="0"/>
        <v>2026-01</v>
      </c>
      <c r="D61" t="s">
        <v>73</v>
      </c>
      <c r="E61" t="s">
        <v>36</v>
      </c>
      <c r="F61" t="s">
        <v>30</v>
      </c>
      <c r="G61" t="s">
        <v>133</v>
      </c>
      <c r="H61" t="s">
        <v>20</v>
      </c>
      <c r="I61" s="2">
        <v>203.9</v>
      </c>
      <c r="J61" s="2">
        <v>31.9</v>
      </c>
      <c r="K61" s="3">
        <f t="shared" si="1"/>
        <v>6.50441</v>
      </c>
      <c r="L61" t="s">
        <v>43</v>
      </c>
      <c r="M61" s="4">
        <v>1.4999999999999999E-2</v>
      </c>
      <c r="N61" s="5">
        <f t="shared" si="2"/>
        <v>0</v>
      </c>
      <c r="O61" t="s">
        <v>33</v>
      </c>
    </row>
    <row r="62" spans="1:15" x14ac:dyDescent="0.3">
      <c r="A62" t="s">
        <v>134</v>
      </c>
      <c r="B62" s="1">
        <v>46054.770833333336</v>
      </c>
      <c r="C62" t="str">
        <f t="shared" si="0"/>
        <v>2026-02</v>
      </c>
      <c r="D62" t="s">
        <v>73</v>
      </c>
      <c r="E62" t="s">
        <v>47</v>
      </c>
      <c r="F62" t="s">
        <v>25</v>
      </c>
      <c r="G62" t="s">
        <v>26</v>
      </c>
      <c r="H62" t="s">
        <v>74</v>
      </c>
      <c r="I62" s="2">
        <v>72.099999999999994</v>
      </c>
      <c r="J62" s="2">
        <v>88.9</v>
      </c>
      <c r="K62" s="3">
        <f t="shared" si="1"/>
        <v>6.4096899999999994</v>
      </c>
      <c r="L62" t="s">
        <v>21</v>
      </c>
      <c r="M62" s="4">
        <v>0.02</v>
      </c>
      <c r="N62" s="5">
        <f t="shared" si="2"/>
        <v>128.19380000000001</v>
      </c>
      <c r="O62" t="s">
        <v>33</v>
      </c>
    </row>
    <row r="63" spans="1:15" x14ac:dyDescent="0.3">
      <c r="A63" t="s">
        <v>135</v>
      </c>
      <c r="B63" s="1">
        <v>46074.354166666664</v>
      </c>
      <c r="C63" t="str">
        <f t="shared" si="0"/>
        <v>2026-02</v>
      </c>
      <c r="D63" t="s">
        <v>107</v>
      </c>
      <c r="E63" t="s">
        <v>36</v>
      </c>
      <c r="F63" t="s">
        <v>52</v>
      </c>
      <c r="G63" t="s">
        <v>53</v>
      </c>
      <c r="H63" t="s">
        <v>27</v>
      </c>
      <c r="I63" s="2">
        <v>110.5</v>
      </c>
      <c r="J63" s="2">
        <v>92.9</v>
      </c>
      <c r="K63" s="3">
        <f t="shared" si="1"/>
        <v>10.265450000000001</v>
      </c>
      <c r="L63" t="s">
        <v>21</v>
      </c>
      <c r="M63" s="4">
        <v>8.0000000000000002E-3</v>
      </c>
      <c r="N63" s="5">
        <f t="shared" si="2"/>
        <v>82.123600000000025</v>
      </c>
      <c r="O63" t="s">
        <v>44</v>
      </c>
    </row>
    <row r="64" spans="1:15" x14ac:dyDescent="0.3">
      <c r="A64" t="s">
        <v>136</v>
      </c>
      <c r="B64" s="1">
        <v>46059.729166666664</v>
      </c>
      <c r="C64" t="str">
        <f t="shared" si="0"/>
        <v>2026-02</v>
      </c>
      <c r="D64" t="s">
        <v>46</v>
      </c>
      <c r="E64" t="s">
        <v>41</v>
      </c>
      <c r="F64" t="s">
        <v>63</v>
      </c>
      <c r="G64" t="s">
        <v>67</v>
      </c>
      <c r="H64" t="s">
        <v>71</v>
      </c>
      <c r="I64" s="2">
        <v>198.5</v>
      </c>
      <c r="J64" s="2">
        <v>279.8</v>
      </c>
      <c r="K64" s="3">
        <f t="shared" si="1"/>
        <v>55.540300000000002</v>
      </c>
      <c r="L64" t="s">
        <v>21</v>
      </c>
      <c r="M64" s="4">
        <v>1.4999999999999999E-2</v>
      </c>
      <c r="N64" s="5">
        <f t="shared" si="2"/>
        <v>833.10450000000003</v>
      </c>
      <c r="O64" t="s">
        <v>22</v>
      </c>
    </row>
    <row r="65" spans="1:15" x14ac:dyDescent="0.3">
      <c r="A65" t="s">
        <v>137</v>
      </c>
      <c r="B65" s="1">
        <v>46076.677083333336</v>
      </c>
      <c r="C65" t="str">
        <f t="shared" si="0"/>
        <v>2026-02</v>
      </c>
      <c r="D65" t="s">
        <v>35</v>
      </c>
      <c r="E65" t="s">
        <v>36</v>
      </c>
      <c r="F65" t="s">
        <v>37</v>
      </c>
      <c r="G65" t="s">
        <v>70</v>
      </c>
      <c r="H65" t="s">
        <v>32</v>
      </c>
      <c r="I65" s="2">
        <v>86.7</v>
      </c>
      <c r="J65" s="2">
        <v>192.1</v>
      </c>
      <c r="K65" s="3">
        <f t="shared" si="1"/>
        <v>16.655069999999998</v>
      </c>
      <c r="L65" t="s">
        <v>21</v>
      </c>
      <c r="M65" s="4">
        <v>0.01</v>
      </c>
      <c r="N65" s="5">
        <f t="shared" si="2"/>
        <v>166.55070000000001</v>
      </c>
      <c r="O65" t="s">
        <v>79</v>
      </c>
    </row>
    <row r="66" spans="1:15" x14ac:dyDescent="0.3">
      <c r="A66" t="s">
        <v>138</v>
      </c>
      <c r="B66" s="1">
        <v>46079.583333333336</v>
      </c>
      <c r="C66" t="str">
        <f t="shared" si="0"/>
        <v>2026-02</v>
      </c>
      <c r="D66" t="s">
        <v>46</v>
      </c>
      <c r="E66" t="s">
        <v>47</v>
      </c>
      <c r="F66" t="s">
        <v>30</v>
      </c>
      <c r="G66" t="s">
        <v>139</v>
      </c>
      <c r="H66" t="s">
        <v>71</v>
      </c>
      <c r="I66" s="2">
        <v>224.1</v>
      </c>
      <c r="J66" s="2">
        <v>40.4</v>
      </c>
      <c r="K66" s="3">
        <f t="shared" si="1"/>
        <v>9.0536399999999997</v>
      </c>
      <c r="L66" t="s">
        <v>21</v>
      </c>
      <c r="M66" s="4">
        <v>0.01</v>
      </c>
      <c r="N66" s="5">
        <f t="shared" si="2"/>
        <v>90.5364</v>
      </c>
      <c r="O66" t="s">
        <v>22</v>
      </c>
    </row>
    <row r="67" spans="1:15" x14ac:dyDescent="0.3">
      <c r="A67" t="s">
        <v>140</v>
      </c>
      <c r="B67" s="1">
        <v>46067.5625</v>
      </c>
      <c r="C67" t="str">
        <f t="shared" ref="C67:C130" si="3">TEXT(B67,"yyyy-mm")</f>
        <v>2026-02</v>
      </c>
      <c r="D67" t="s">
        <v>69</v>
      </c>
      <c r="E67" t="s">
        <v>36</v>
      </c>
      <c r="F67" t="s">
        <v>52</v>
      </c>
      <c r="G67" t="s">
        <v>53</v>
      </c>
      <c r="H67" t="s">
        <v>85</v>
      </c>
      <c r="I67" s="2">
        <v>111.5</v>
      </c>
      <c r="J67" s="2">
        <v>159.19999999999999</v>
      </c>
      <c r="K67" s="3">
        <f t="shared" ref="K67:K130" si="4">I67*J67/1000</f>
        <v>17.750799999999998</v>
      </c>
      <c r="L67" t="s">
        <v>55</v>
      </c>
      <c r="M67" s="4">
        <v>0.02</v>
      </c>
      <c r="N67" s="5">
        <f t="shared" ref="N67:N130" si="5">IF(L67="Đã bán",K67*M67*1000,0)</f>
        <v>0</v>
      </c>
      <c r="O67" t="s">
        <v>22</v>
      </c>
    </row>
    <row r="68" spans="1:15" x14ac:dyDescent="0.3">
      <c r="A68" t="s">
        <v>141</v>
      </c>
      <c r="B68" s="1">
        <v>46080.333333333336</v>
      </c>
      <c r="C68" t="str">
        <f t="shared" si="3"/>
        <v>2026-02</v>
      </c>
      <c r="D68" t="s">
        <v>35</v>
      </c>
      <c r="E68" t="s">
        <v>36</v>
      </c>
      <c r="F68" t="s">
        <v>18</v>
      </c>
      <c r="G68" t="s">
        <v>64</v>
      </c>
      <c r="H68" t="s">
        <v>49</v>
      </c>
      <c r="I68" s="2">
        <v>254</v>
      </c>
      <c r="J68" s="2">
        <v>124.2</v>
      </c>
      <c r="K68" s="3">
        <f t="shared" si="4"/>
        <v>31.546799999999998</v>
      </c>
      <c r="L68" t="s">
        <v>78</v>
      </c>
      <c r="M68" s="4">
        <v>0.01</v>
      </c>
      <c r="N68" s="5">
        <f t="shared" si="5"/>
        <v>0</v>
      </c>
      <c r="O68" t="s">
        <v>33</v>
      </c>
    </row>
    <row r="69" spans="1:15" x14ac:dyDescent="0.3">
      <c r="A69" t="s">
        <v>142</v>
      </c>
      <c r="B69" s="1">
        <v>46058.697916666664</v>
      </c>
      <c r="C69" t="str">
        <f t="shared" si="3"/>
        <v>2026-02</v>
      </c>
      <c r="D69" t="s">
        <v>24</v>
      </c>
      <c r="E69" t="s">
        <v>29</v>
      </c>
      <c r="F69" t="s">
        <v>37</v>
      </c>
      <c r="G69" t="s">
        <v>70</v>
      </c>
      <c r="H69" t="s">
        <v>61</v>
      </c>
      <c r="I69" s="2">
        <v>106</v>
      </c>
      <c r="J69" s="2">
        <v>221.1</v>
      </c>
      <c r="K69" s="3">
        <f t="shared" si="4"/>
        <v>23.436599999999999</v>
      </c>
      <c r="L69" t="s">
        <v>43</v>
      </c>
      <c r="M69" s="4">
        <v>1.2E-2</v>
      </c>
      <c r="N69" s="5">
        <f t="shared" si="5"/>
        <v>0</v>
      </c>
      <c r="O69" t="s">
        <v>33</v>
      </c>
    </row>
    <row r="70" spans="1:15" x14ac:dyDescent="0.3">
      <c r="A70" t="s">
        <v>143</v>
      </c>
      <c r="B70" s="1">
        <v>46072.583333333336</v>
      </c>
      <c r="C70" t="str">
        <f t="shared" si="3"/>
        <v>2026-02</v>
      </c>
      <c r="D70" t="s">
        <v>46</v>
      </c>
      <c r="E70" t="s">
        <v>29</v>
      </c>
      <c r="F70" t="s">
        <v>52</v>
      </c>
      <c r="G70" t="s">
        <v>109</v>
      </c>
      <c r="H70" t="s">
        <v>61</v>
      </c>
      <c r="I70" s="2">
        <v>115.2</v>
      </c>
      <c r="J70" s="2">
        <v>58.5</v>
      </c>
      <c r="K70" s="3">
        <f t="shared" si="4"/>
        <v>6.7391999999999994</v>
      </c>
      <c r="L70" t="s">
        <v>43</v>
      </c>
      <c r="M70" s="4">
        <v>0.01</v>
      </c>
      <c r="N70" s="5">
        <f t="shared" si="5"/>
        <v>0</v>
      </c>
      <c r="O70" t="s">
        <v>79</v>
      </c>
    </row>
    <row r="71" spans="1:15" x14ac:dyDescent="0.3">
      <c r="A71" t="s">
        <v>144</v>
      </c>
      <c r="B71" s="1">
        <v>46075.375</v>
      </c>
      <c r="C71" t="str">
        <f t="shared" si="3"/>
        <v>2026-02</v>
      </c>
      <c r="D71" t="s">
        <v>73</v>
      </c>
      <c r="E71" t="s">
        <v>36</v>
      </c>
      <c r="F71" t="s">
        <v>52</v>
      </c>
      <c r="G71" t="s">
        <v>53</v>
      </c>
      <c r="H71" t="s">
        <v>59</v>
      </c>
      <c r="I71" s="2">
        <v>131.80000000000001</v>
      </c>
      <c r="J71" s="2">
        <v>121.2</v>
      </c>
      <c r="K71" s="3">
        <f t="shared" si="4"/>
        <v>15.974160000000001</v>
      </c>
      <c r="L71" t="s">
        <v>21</v>
      </c>
      <c r="M71" s="4">
        <v>0.01</v>
      </c>
      <c r="N71" s="5">
        <f t="shared" si="5"/>
        <v>159.74160000000001</v>
      </c>
      <c r="O71" t="s">
        <v>79</v>
      </c>
    </row>
    <row r="72" spans="1:15" x14ac:dyDescent="0.3">
      <c r="A72" t="s">
        <v>145</v>
      </c>
      <c r="B72" s="1">
        <v>46068.479166666664</v>
      </c>
      <c r="C72" t="str">
        <f t="shared" si="3"/>
        <v>2026-02</v>
      </c>
      <c r="D72" t="s">
        <v>51</v>
      </c>
      <c r="E72" t="s">
        <v>41</v>
      </c>
      <c r="F72" t="s">
        <v>63</v>
      </c>
      <c r="G72" t="s">
        <v>67</v>
      </c>
      <c r="H72" t="s">
        <v>54</v>
      </c>
      <c r="I72" s="2">
        <v>116.6</v>
      </c>
      <c r="J72" s="2">
        <v>128.1</v>
      </c>
      <c r="K72" s="3">
        <f t="shared" si="4"/>
        <v>14.936459999999999</v>
      </c>
      <c r="L72" t="s">
        <v>78</v>
      </c>
      <c r="M72" s="4">
        <v>8.0000000000000002E-3</v>
      </c>
      <c r="N72" s="5">
        <f t="shared" si="5"/>
        <v>0</v>
      </c>
      <c r="O72" t="s">
        <v>39</v>
      </c>
    </row>
    <row r="73" spans="1:15" x14ac:dyDescent="0.3">
      <c r="A73" t="s">
        <v>146</v>
      </c>
      <c r="B73" s="1">
        <v>46073.697916666664</v>
      </c>
      <c r="C73" t="str">
        <f t="shared" si="3"/>
        <v>2026-02</v>
      </c>
      <c r="D73" t="s">
        <v>24</v>
      </c>
      <c r="E73" t="s">
        <v>36</v>
      </c>
      <c r="F73" t="s">
        <v>30</v>
      </c>
      <c r="G73" t="s">
        <v>42</v>
      </c>
      <c r="H73" t="s">
        <v>85</v>
      </c>
      <c r="I73" s="2">
        <v>73.099999999999994</v>
      </c>
      <c r="J73" s="2">
        <v>50.9</v>
      </c>
      <c r="K73" s="3">
        <f t="shared" si="4"/>
        <v>3.7207899999999996</v>
      </c>
      <c r="L73" t="s">
        <v>21</v>
      </c>
      <c r="M73" s="4">
        <v>8.0000000000000002E-3</v>
      </c>
      <c r="N73" s="5">
        <f t="shared" si="5"/>
        <v>29.76632</v>
      </c>
      <c r="O73" t="s">
        <v>33</v>
      </c>
    </row>
    <row r="74" spans="1:15" x14ac:dyDescent="0.3">
      <c r="A74" t="s">
        <v>147</v>
      </c>
      <c r="B74" s="1">
        <v>46054.625</v>
      </c>
      <c r="C74" t="str">
        <f t="shared" si="3"/>
        <v>2026-02</v>
      </c>
      <c r="D74" t="s">
        <v>35</v>
      </c>
      <c r="E74" t="s">
        <v>17</v>
      </c>
      <c r="F74" t="s">
        <v>63</v>
      </c>
      <c r="G74" t="s">
        <v>122</v>
      </c>
      <c r="H74" t="s">
        <v>85</v>
      </c>
      <c r="I74" s="2">
        <v>184.7</v>
      </c>
      <c r="J74" s="2">
        <v>139.5</v>
      </c>
      <c r="K74" s="3">
        <f t="shared" si="4"/>
        <v>25.765649999999997</v>
      </c>
      <c r="L74" t="s">
        <v>43</v>
      </c>
      <c r="M74" s="4">
        <v>0.01</v>
      </c>
      <c r="N74" s="5">
        <f t="shared" si="5"/>
        <v>0</v>
      </c>
      <c r="O74" t="s">
        <v>44</v>
      </c>
    </row>
    <row r="75" spans="1:15" x14ac:dyDescent="0.3">
      <c r="A75" t="s">
        <v>148</v>
      </c>
      <c r="B75" s="1">
        <v>46067.427083333336</v>
      </c>
      <c r="C75" t="str">
        <f t="shared" si="3"/>
        <v>2026-02</v>
      </c>
      <c r="D75" t="s">
        <v>16</v>
      </c>
      <c r="E75" t="s">
        <v>47</v>
      </c>
      <c r="F75" t="s">
        <v>52</v>
      </c>
      <c r="G75" t="s">
        <v>53</v>
      </c>
      <c r="H75" t="s">
        <v>54</v>
      </c>
      <c r="I75" s="2">
        <v>90.2</v>
      </c>
      <c r="J75" s="2">
        <v>137.30000000000001</v>
      </c>
      <c r="K75" s="3">
        <f t="shared" si="4"/>
        <v>12.384460000000001</v>
      </c>
      <c r="L75" t="s">
        <v>43</v>
      </c>
      <c r="M75" s="4">
        <v>1.4999999999999999E-2</v>
      </c>
      <c r="N75" s="5">
        <f t="shared" si="5"/>
        <v>0</v>
      </c>
      <c r="O75" t="s">
        <v>22</v>
      </c>
    </row>
    <row r="76" spans="1:15" x14ac:dyDescent="0.3">
      <c r="A76" t="s">
        <v>149</v>
      </c>
      <c r="B76" s="1">
        <v>46073.385416666664</v>
      </c>
      <c r="C76" t="str">
        <f t="shared" si="3"/>
        <v>2026-02</v>
      </c>
      <c r="D76" t="s">
        <v>24</v>
      </c>
      <c r="E76" t="s">
        <v>41</v>
      </c>
      <c r="F76" t="s">
        <v>18</v>
      </c>
      <c r="G76" t="s">
        <v>64</v>
      </c>
      <c r="H76" t="s">
        <v>59</v>
      </c>
      <c r="I76" s="2">
        <v>243.4</v>
      </c>
      <c r="J76" s="2">
        <v>198.6</v>
      </c>
      <c r="K76" s="3">
        <f t="shared" si="4"/>
        <v>48.339239999999997</v>
      </c>
      <c r="L76" t="s">
        <v>21</v>
      </c>
      <c r="M76" s="4">
        <v>1.4999999999999999E-2</v>
      </c>
      <c r="N76" s="5">
        <f t="shared" si="5"/>
        <v>725.08859999999993</v>
      </c>
      <c r="O76" t="s">
        <v>22</v>
      </c>
    </row>
    <row r="77" spans="1:15" x14ac:dyDescent="0.3">
      <c r="A77" t="s">
        <v>150</v>
      </c>
      <c r="B77" s="1">
        <v>46063.65625</v>
      </c>
      <c r="C77" t="str">
        <f t="shared" si="3"/>
        <v>2026-02</v>
      </c>
      <c r="D77" t="s">
        <v>69</v>
      </c>
      <c r="E77" t="s">
        <v>29</v>
      </c>
      <c r="F77" t="s">
        <v>25</v>
      </c>
      <c r="G77" t="s">
        <v>102</v>
      </c>
      <c r="H77" t="s">
        <v>49</v>
      </c>
      <c r="I77" s="2">
        <v>68.099999999999994</v>
      </c>
      <c r="J77" s="2">
        <v>121.4</v>
      </c>
      <c r="K77" s="3">
        <f t="shared" si="4"/>
        <v>8.2673400000000008</v>
      </c>
      <c r="L77" t="s">
        <v>55</v>
      </c>
      <c r="M77" s="4">
        <v>0.01</v>
      </c>
      <c r="N77" s="5">
        <f t="shared" si="5"/>
        <v>0</v>
      </c>
      <c r="O77" t="s">
        <v>79</v>
      </c>
    </row>
    <row r="78" spans="1:15" x14ac:dyDescent="0.3">
      <c r="A78" t="s">
        <v>151</v>
      </c>
      <c r="B78" s="1">
        <v>46070.677083333336</v>
      </c>
      <c r="C78" t="str">
        <f t="shared" si="3"/>
        <v>2026-02</v>
      </c>
      <c r="D78" t="s">
        <v>51</v>
      </c>
      <c r="E78" t="s">
        <v>17</v>
      </c>
      <c r="F78" t="s">
        <v>52</v>
      </c>
      <c r="G78" t="s">
        <v>109</v>
      </c>
      <c r="H78" t="s">
        <v>71</v>
      </c>
      <c r="I78" s="2">
        <v>143.5</v>
      </c>
      <c r="J78" s="2">
        <v>69.099999999999994</v>
      </c>
      <c r="K78" s="3">
        <f t="shared" si="4"/>
        <v>9.9158499999999989</v>
      </c>
      <c r="L78" t="s">
        <v>78</v>
      </c>
      <c r="M78" s="4">
        <v>1.2E-2</v>
      </c>
      <c r="N78" s="5">
        <f t="shared" si="5"/>
        <v>0</v>
      </c>
      <c r="O78" t="s">
        <v>22</v>
      </c>
    </row>
    <row r="79" spans="1:15" x14ac:dyDescent="0.3">
      <c r="A79" t="s">
        <v>152</v>
      </c>
      <c r="B79" s="1">
        <v>46068.354166666664</v>
      </c>
      <c r="C79" t="str">
        <f t="shared" si="3"/>
        <v>2026-02</v>
      </c>
      <c r="D79" t="s">
        <v>51</v>
      </c>
      <c r="E79" t="s">
        <v>29</v>
      </c>
      <c r="F79" t="s">
        <v>18</v>
      </c>
      <c r="G79" t="s">
        <v>84</v>
      </c>
      <c r="H79" t="s">
        <v>65</v>
      </c>
      <c r="I79" s="2">
        <v>232.6</v>
      </c>
      <c r="J79" s="2">
        <v>179.1</v>
      </c>
      <c r="K79" s="3">
        <f t="shared" si="4"/>
        <v>41.658659999999998</v>
      </c>
      <c r="L79" t="s">
        <v>21</v>
      </c>
      <c r="M79" s="4">
        <v>0.02</v>
      </c>
      <c r="N79" s="5">
        <f t="shared" si="5"/>
        <v>833.17319999999995</v>
      </c>
      <c r="O79" t="s">
        <v>39</v>
      </c>
    </row>
    <row r="80" spans="1:15" x14ac:dyDescent="0.3">
      <c r="A80" t="s">
        <v>153</v>
      </c>
      <c r="B80" s="1">
        <v>46081.71875</v>
      </c>
      <c r="C80" t="str">
        <f t="shared" si="3"/>
        <v>2026-02</v>
      </c>
      <c r="D80" t="s">
        <v>51</v>
      </c>
      <c r="E80" t="s">
        <v>17</v>
      </c>
      <c r="F80" t="s">
        <v>37</v>
      </c>
      <c r="G80" t="s">
        <v>38</v>
      </c>
      <c r="H80" t="s">
        <v>81</v>
      </c>
      <c r="I80" s="2">
        <v>178.7</v>
      </c>
      <c r="J80" s="2">
        <v>203.9</v>
      </c>
      <c r="K80" s="3">
        <f t="shared" si="4"/>
        <v>36.436930000000004</v>
      </c>
      <c r="L80" t="s">
        <v>21</v>
      </c>
      <c r="M80" s="4">
        <v>1.2E-2</v>
      </c>
      <c r="N80" s="5">
        <f t="shared" si="5"/>
        <v>437.2431600000001</v>
      </c>
      <c r="O80" t="s">
        <v>33</v>
      </c>
    </row>
    <row r="81" spans="1:15" x14ac:dyDescent="0.3">
      <c r="A81" t="s">
        <v>154</v>
      </c>
      <c r="B81" s="1">
        <v>46068.46875</v>
      </c>
      <c r="C81" t="str">
        <f t="shared" si="3"/>
        <v>2026-02</v>
      </c>
      <c r="D81" t="s">
        <v>51</v>
      </c>
      <c r="E81" t="s">
        <v>36</v>
      </c>
      <c r="F81" t="s">
        <v>25</v>
      </c>
      <c r="G81" t="s">
        <v>102</v>
      </c>
      <c r="H81" t="s">
        <v>20</v>
      </c>
      <c r="I81" s="2">
        <v>72.2</v>
      </c>
      <c r="J81" s="2">
        <v>97.8</v>
      </c>
      <c r="K81" s="3">
        <f t="shared" si="4"/>
        <v>7.0611600000000001</v>
      </c>
      <c r="L81" t="s">
        <v>43</v>
      </c>
      <c r="M81" s="4">
        <v>1.2E-2</v>
      </c>
      <c r="N81" s="5">
        <f t="shared" si="5"/>
        <v>0</v>
      </c>
      <c r="O81" t="s">
        <v>22</v>
      </c>
    </row>
    <row r="82" spans="1:15" x14ac:dyDescent="0.3">
      <c r="A82" t="s">
        <v>155</v>
      </c>
      <c r="B82" s="1">
        <v>46068.729166666664</v>
      </c>
      <c r="C82" t="str">
        <f t="shared" si="3"/>
        <v>2026-02</v>
      </c>
      <c r="D82" t="s">
        <v>51</v>
      </c>
      <c r="E82" t="s">
        <v>47</v>
      </c>
      <c r="F82" t="s">
        <v>37</v>
      </c>
      <c r="G82" t="s">
        <v>156</v>
      </c>
      <c r="H82" t="s">
        <v>27</v>
      </c>
      <c r="I82" s="2">
        <v>166.4</v>
      </c>
      <c r="J82" s="2">
        <v>156.19999999999999</v>
      </c>
      <c r="K82" s="3">
        <f t="shared" si="4"/>
        <v>25.991679999999999</v>
      </c>
      <c r="L82" t="s">
        <v>21</v>
      </c>
      <c r="M82" s="4">
        <v>0.02</v>
      </c>
      <c r="N82" s="5">
        <f t="shared" si="5"/>
        <v>519.83360000000005</v>
      </c>
      <c r="O82" t="s">
        <v>44</v>
      </c>
    </row>
    <row r="83" spans="1:15" x14ac:dyDescent="0.3">
      <c r="A83" t="s">
        <v>157</v>
      </c>
      <c r="B83" s="1">
        <v>46080.6875</v>
      </c>
      <c r="C83" t="str">
        <f t="shared" si="3"/>
        <v>2026-02</v>
      </c>
      <c r="D83" t="s">
        <v>35</v>
      </c>
      <c r="E83" t="s">
        <v>17</v>
      </c>
      <c r="F83" t="s">
        <v>63</v>
      </c>
      <c r="G83" t="s">
        <v>64</v>
      </c>
      <c r="H83" t="s">
        <v>61</v>
      </c>
      <c r="I83" s="2">
        <v>161.80000000000001</v>
      </c>
      <c r="J83" s="2">
        <v>183</v>
      </c>
      <c r="K83" s="3">
        <f t="shared" si="4"/>
        <v>29.609400000000001</v>
      </c>
      <c r="L83" t="s">
        <v>21</v>
      </c>
      <c r="M83" s="4">
        <v>1.2E-2</v>
      </c>
      <c r="N83" s="5">
        <f t="shared" si="5"/>
        <v>355.31280000000004</v>
      </c>
      <c r="O83" t="s">
        <v>79</v>
      </c>
    </row>
    <row r="84" spans="1:15" x14ac:dyDescent="0.3">
      <c r="A84" t="s">
        <v>158</v>
      </c>
      <c r="B84" s="1">
        <v>46068.489583333336</v>
      </c>
      <c r="C84" t="str">
        <f t="shared" si="3"/>
        <v>2026-02</v>
      </c>
      <c r="D84" t="s">
        <v>51</v>
      </c>
      <c r="E84" t="s">
        <v>29</v>
      </c>
      <c r="F84" t="s">
        <v>37</v>
      </c>
      <c r="G84" t="s">
        <v>38</v>
      </c>
      <c r="H84" t="s">
        <v>20</v>
      </c>
      <c r="I84" s="2">
        <v>112.8</v>
      </c>
      <c r="J84" s="2">
        <v>117</v>
      </c>
      <c r="K84" s="3">
        <f t="shared" si="4"/>
        <v>13.1976</v>
      </c>
      <c r="L84" t="s">
        <v>21</v>
      </c>
      <c r="M84" s="4">
        <v>1.2E-2</v>
      </c>
      <c r="N84" s="5">
        <f t="shared" si="5"/>
        <v>158.37119999999999</v>
      </c>
      <c r="O84" t="s">
        <v>44</v>
      </c>
    </row>
    <row r="85" spans="1:15" x14ac:dyDescent="0.3">
      <c r="A85" t="s">
        <v>159</v>
      </c>
      <c r="B85" s="1">
        <v>46062.604166666664</v>
      </c>
      <c r="C85" t="str">
        <f t="shared" si="3"/>
        <v>2026-02</v>
      </c>
      <c r="D85" t="s">
        <v>16</v>
      </c>
      <c r="E85" t="s">
        <v>41</v>
      </c>
      <c r="F85" t="s">
        <v>52</v>
      </c>
      <c r="G85" t="s">
        <v>93</v>
      </c>
      <c r="H85" t="s">
        <v>85</v>
      </c>
      <c r="I85" s="2">
        <v>55.5</v>
      </c>
      <c r="J85" s="2">
        <v>140.6</v>
      </c>
      <c r="K85" s="3">
        <f t="shared" si="4"/>
        <v>7.8032999999999992</v>
      </c>
      <c r="L85" t="s">
        <v>21</v>
      </c>
      <c r="M85" s="4">
        <v>1.2E-2</v>
      </c>
      <c r="N85" s="5">
        <f t="shared" si="5"/>
        <v>93.639599999999987</v>
      </c>
      <c r="O85" t="s">
        <v>22</v>
      </c>
    </row>
    <row r="86" spans="1:15" x14ac:dyDescent="0.3">
      <c r="A86" t="s">
        <v>160</v>
      </c>
      <c r="B86" s="1">
        <v>46072.604166666664</v>
      </c>
      <c r="C86" t="str">
        <f t="shared" si="3"/>
        <v>2026-02</v>
      </c>
      <c r="D86" t="s">
        <v>16</v>
      </c>
      <c r="E86" t="s">
        <v>41</v>
      </c>
      <c r="F86" t="s">
        <v>18</v>
      </c>
      <c r="G86" t="s">
        <v>48</v>
      </c>
      <c r="H86" t="s">
        <v>85</v>
      </c>
      <c r="I86" s="2">
        <v>419.3</v>
      </c>
      <c r="J86" s="2">
        <v>114.6</v>
      </c>
      <c r="K86" s="3">
        <f t="shared" si="4"/>
        <v>48.051780000000001</v>
      </c>
      <c r="L86" t="s">
        <v>21</v>
      </c>
      <c r="M86" s="4">
        <v>1.2E-2</v>
      </c>
      <c r="N86" s="5">
        <f t="shared" si="5"/>
        <v>576.62135999999998</v>
      </c>
      <c r="O86" t="s">
        <v>79</v>
      </c>
    </row>
    <row r="87" spans="1:15" x14ac:dyDescent="0.3">
      <c r="A87" t="s">
        <v>161</v>
      </c>
      <c r="B87" s="1">
        <v>46072.666666666664</v>
      </c>
      <c r="C87" t="str">
        <f t="shared" si="3"/>
        <v>2026-02</v>
      </c>
      <c r="D87" t="s">
        <v>16</v>
      </c>
      <c r="E87" t="s">
        <v>36</v>
      </c>
      <c r="F87" t="s">
        <v>18</v>
      </c>
      <c r="G87" t="s">
        <v>84</v>
      </c>
      <c r="H87" t="s">
        <v>54</v>
      </c>
      <c r="I87" s="2">
        <v>413.3</v>
      </c>
      <c r="J87" s="2">
        <v>208.5</v>
      </c>
      <c r="K87" s="3">
        <f t="shared" si="4"/>
        <v>86.173050000000003</v>
      </c>
      <c r="L87" t="s">
        <v>21</v>
      </c>
      <c r="M87" s="4">
        <v>8.0000000000000002E-3</v>
      </c>
      <c r="N87" s="5">
        <f t="shared" si="5"/>
        <v>689.38440000000003</v>
      </c>
      <c r="O87" t="s">
        <v>33</v>
      </c>
    </row>
    <row r="88" spans="1:15" x14ac:dyDescent="0.3">
      <c r="A88" t="s">
        <v>162</v>
      </c>
      <c r="B88" s="1">
        <v>46054.708333333336</v>
      </c>
      <c r="C88" t="str">
        <f t="shared" si="3"/>
        <v>2026-02</v>
      </c>
      <c r="D88" t="s">
        <v>107</v>
      </c>
      <c r="E88" t="s">
        <v>41</v>
      </c>
      <c r="F88" t="s">
        <v>25</v>
      </c>
      <c r="G88" t="s">
        <v>67</v>
      </c>
      <c r="H88" t="s">
        <v>85</v>
      </c>
      <c r="I88" s="2">
        <v>117.3</v>
      </c>
      <c r="J88" s="2">
        <v>109.5</v>
      </c>
      <c r="K88" s="3">
        <f t="shared" si="4"/>
        <v>12.84435</v>
      </c>
      <c r="L88" t="s">
        <v>21</v>
      </c>
      <c r="M88" s="4">
        <v>8.0000000000000002E-3</v>
      </c>
      <c r="N88" s="5">
        <f t="shared" si="5"/>
        <v>102.7548</v>
      </c>
      <c r="O88" t="s">
        <v>79</v>
      </c>
    </row>
    <row r="89" spans="1:15" x14ac:dyDescent="0.3">
      <c r="A89" t="s">
        <v>163</v>
      </c>
      <c r="B89" s="1">
        <v>46054.510416666664</v>
      </c>
      <c r="C89" t="str">
        <f t="shared" si="3"/>
        <v>2026-02</v>
      </c>
      <c r="D89" t="s">
        <v>107</v>
      </c>
      <c r="E89" t="s">
        <v>17</v>
      </c>
      <c r="F89" t="s">
        <v>37</v>
      </c>
      <c r="G89" t="s">
        <v>70</v>
      </c>
      <c r="H89" t="s">
        <v>65</v>
      </c>
      <c r="I89" s="2">
        <v>175.2</v>
      </c>
      <c r="J89" s="2">
        <v>209.3</v>
      </c>
      <c r="K89" s="3">
        <f t="shared" si="4"/>
        <v>36.669359999999998</v>
      </c>
      <c r="L89" t="s">
        <v>21</v>
      </c>
      <c r="M89" s="4">
        <v>0.02</v>
      </c>
      <c r="N89" s="5">
        <f t="shared" si="5"/>
        <v>733.38720000000001</v>
      </c>
      <c r="O89" t="s">
        <v>44</v>
      </c>
    </row>
    <row r="90" spans="1:15" x14ac:dyDescent="0.3">
      <c r="A90" t="s">
        <v>164</v>
      </c>
      <c r="B90" s="1">
        <v>46063.447916666664</v>
      </c>
      <c r="C90" t="str">
        <f t="shared" si="3"/>
        <v>2026-02</v>
      </c>
      <c r="D90" t="s">
        <v>51</v>
      </c>
      <c r="E90" t="s">
        <v>47</v>
      </c>
      <c r="F90" t="s">
        <v>25</v>
      </c>
      <c r="G90" t="s">
        <v>26</v>
      </c>
      <c r="H90" t="s">
        <v>65</v>
      </c>
      <c r="I90" s="2">
        <v>93.7</v>
      </c>
      <c r="J90" s="2">
        <v>86.5</v>
      </c>
      <c r="K90" s="3">
        <f t="shared" si="4"/>
        <v>8.1050500000000003</v>
      </c>
      <c r="L90" t="s">
        <v>43</v>
      </c>
      <c r="M90" s="4">
        <v>0.01</v>
      </c>
      <c r="N90" s="5">
        <f t="shared" si="5"/>
        <v>0</v>
      </c>
      <c r="O90" t="s">
        <v>79</v>
      </c>
    </row>
    <row r="91" spans="1:15" x14ac:dyDescent="0.3">
      <c r="A91" t="s">
        <v>165</v>
      </c>
      <c r="B91" s="1">
        <v>46069.645833333336</v>
      </c>
      <c r="C91" t="str">
        <f t="shared" si="3"/>
        <v>2026-02</v>
      </c>
      <c r="D91" t="s">
        <v>73</v>
      </c>
      <c r="E91" t="s">
        <v>17</v>
      </c>
      <c r="F91" t="s">
        <v>30</v>
      </c>
      <c r="G91" t="s">
        <v>31</v>
      </c>
      <c r="H91" t="s">
        <v>20</v>
      </c>
      <c r="I91" s="2">
        <v>218.4</v>
      </c>
      <c r="J91" s="2">
        <v>33.4</v>
      </c>
      <c r="K91" s="3">
        <f t="shared" si="4"/>
        <v>7.2945599999999997</v>
      </c>
      <c r="L91" t="s">
        <v>78</v>
      </c>
      <c r="M91" s="4">
        <v>0.02</v>
      </c>
      <c r="N91" s="5">
        <f t="shared" si="5"/>
        <v>0</v>
      </c>
      <c r="O91" t="s">
        <v>33</v>
      </c>
    </row>
    <row r="92" spans="1:15" x14ac:dyDescent="0.3">
      <c r="A92" t="s">
        <v>166</v>
      </c>
      <c r="B92" s="1">
        <v>46075.677083333336</v>
      </c>
      <c r="C92" t="str">
        <f t="shared" si="3"/>
        <v>2026-02</v>
      </c>
      <c r="D92" t="s">
        <v>16</v>
      </c>
      <c r="E92" t="s">
        <v>36</v>
      </c>
      <c r="F92" t="s">
        <v>18</v>
      </c>
      <c r="G92" t="s">
        <v>64</v>
      </c>
      <c r="H92" t="s">
        <v>71</v>
      </c>
      <c r="I92" s="2">
        <v>208</v>
      </c>
      <c r="J92" s="2">
        <v>167.1</v>
      </c>
      <c r="K92" s="3">
        <f t="shared" si="4"/>
        <v>34.756799999999998</v>
      </c>
      <c r="L92" t="s">
        <v>21</v>
      </c>
      <c r="M92" s="4">
        <v>0.02</v>
      </c>
      <c r="N92" s="5">
        <f t="shared" si="5"/>
        <v>695.13599999999997</v>
      </c>
      <c r="O92" t="s">
        <v>39</v>
      </c>
    </row>
    <row r="93" spans="1:15" x14ac:dyDescent="0.3">
      <c r="A93" t="s">
        <v>167</v>
      </c>
      <c r="B93" s="1">
        <v>46070.583333333336</v>
      </c>
      <c r="C93" t="str">
        <f t="shared" si="3"/>
        <v>2026-02</v>
      </c>
      <c r="D93" t="s">
        <v>69</v>
      </c>
      <c r="E93" t="s">
        <v>17</v>
      </c>
      <c r="F93" t="s">
        <v>30</v>
      </c>
      <c r="G93" t="s">
        <v>42</v>
      </c>
      <c r="H93" t="s">
        <v>27</v>
      </c>
      <c r="I93" s="2">
        <v>139.30000000000001</v>
      </c>
      <c r="J93" s="2">
        <v>56.8</v>
      </c>
      <c r="K93" s="3">
        <f t="shared" si="4"/>
        <v>7.9122400000000006</v>
      </c>
      <c r="L93" t="s">
        <v>78</v>
      </c>
      <c r="M93" s="4">
        <v>1.2E-2</v>
      </c>
      <c r="N93" s="5">
        <f t="shared" si="5"/>
        <v>0</v>
      </c>
      <c r="O93" t="s">
        <v>33</v>
      </c>
    </row>
    <row r="94" spans="1:15" x14ac:dyDescent="0.3">
      <c r="A94" t="s">
        <v>168</v>
      </c>
      <c r="B94" s="1">
        <v>46067.739583333336</v>
      </c>
      <c r="C94" t="str">
        <f t="shared" si="3"/>
        <v>2026-02</v>
      </c>
      <c r="D94" t="s">
        <v>24</v>
      </c>
      <c r="E94" t="s">
        <v>41</v>
      </c>
      <c r="F94" t="s">
        <v>37</v>
      </c>
      <c r="G94" t="s">
        <v>156</v>
      </c>
      <c r="H94" t="s">
        <v>59</v>
      </c>
      <c r="I94" s="2">
        <v>154.6</v>
      </c>
      <c r="J94" s="2">
        <v>177.1</v>
      </c>
      <c r="K94" s="3">
        <f t="shared" si="4"/>
        <v>27.379660000000001</v>
      </c>
      <c r="L94" t="s">
        <v>55</v>
      </c>
      <c r="M94" s="4">
        <v>1.4999999999999999E-2</v>
      </c>
      <c r="N94" s="5">
        <f t="shared" si="5"/>
        <v>0</v>
      </c>
      <c r="O94" t="s">
        <v>33</v>
      </c>
    </row>
    <row r="95" spans="1:15" x14ac:dyDescent="0.3">
      <c r="A95" t="s">
        <v>169</v>
      </c>
      <c r="B95" s="1">
        <v>46064.625</v>
      </c>
      <c r="C95" t="str">
        <f t="shared" si="3"/>
        <v>2026-02</v>
      </c>
      <c r="D95" t="s">
        <v>51</v>
      </c>
      <c r="E95" t="s">
        <v>17</v>
      </c>
      <c r="F95" t="s">
        <v>25</v>
      </c>
      <c r="G95" t="s">
        <v>64</v>
      </c>
      <c r="H95" t="s">
        <v>54</v>
      </c>
      <c r="I95" s="2">
        <v>59.7</v>
      </c>
      <c r="J95" s="2">
        <v>66.400000000000006</v>
      </c>
      <c r="K95" s="3">
        <f t="shared" si="4"/>
        <v>3.9640800000000005</v>
      </c>
      <c r="L95" t="s">
        <v>78</v>
      </c>
      <c r="M95" s="4">
        <v>1.4999999999999999E-2</v>
      </c>
      <c r="N95" s="5">
        <f t="shared" si="5"/>
        <v>0</v>
      </c>
      <c r="O95" t="s">
        <v>79</v>
      </c>
    </row>
    <row r="96" spans="1:15" x14ac:dyDescent="0.3">
      <c r="A96" t="s">
        <v>170</v>
      </c>
      <c r="B96" s="1">
        <v>46066.364583333336</v>
      </c>
      <c r="C96" t="str">
        <f t="shared" si="3"/>
        <v>2026-02</v>
      </c>
      <c r="D96" t="s">
        <v>107</v>
      </c>
      <c r="E96" t="s">
        <v>17</v>
      </c>
      <c r="F96" t="s">
        <v>18</v>
      </c>
      <c r="G96" t="s">
        <v>64</v>
      </c>
      <c r="H96" t="s">
        <v>85</v>
      </c>
      <c r="I96" s="2">
        <v>302.89999999999998</v>
      </c>
      <c r="J96" s="2">
        <v>172.2</v>
      </c>
      <c r="K96" s="3">
        <f t="shared" si="4"/>
        <v>52.159379999999992</v>
      </c>
      <c r="L96" t="s">
        <v>78</v>
      </c>
      <c r="M96" s="4">
        <v>0.02</v>
      </c>
      <c r="N96" s="5">
        <f t="shared" si="5"/>
        <v>0</v>
      </c>
      <c r="O96" t="s">
        <v>44</v>
      </c>
    </row>
    <row r="97" spans="1:15" x14ac:dyDescent="0.3">
      <c r="A97" t="s">
        <v>171</v>
      </c>
      <c r="B97" s="1">
        <v>46054.333333333336</v>
      </c>
      <c r="C97" t="str">
        <f t="shared" si="3"/>
        <v>2026-02</v>
      </c>
      <c r="D97" t="s">
        <v>51</v>
      </c>
      <c r="E97" t="s">
        <v>29</v>
      </c>
      <c r="F97" t="s">
        <v>18</v>
      </c>
      <c r="G97" t="s">
        <v>19</v>
      </c>
      <c r="H97" t="s">
        <v>74</v>
      </c>
      <c r="I97" s="2">
        <v>367.1</v>
      </c>
      <c r="J97" s="2">
        <v>253.2</v>
      </c>
      <c r="K97" s="3">
        <f t="shared" si="4"/>
        <v>92.949719999999999</v>
      </c>
      <c r="L97" t="s">
        <v>55</v>
      </c>
      <c r="M97" s="4">
        <v>0.02</v>
      </c>
      <c r="N97" s="5">
        <f t="shared" si="5"/>
        <v>0</v>
      </c>
      <c r="O97" t="s">
        <v>22</v>
      </c>
    </row>
    <row r="98" spans="1:15" x14ac:dyDescent="0.3">
      <c r="A98" t="s">
        <v>172</v>
      </c>
      <c r="B98" s="1">
        <v>46064.635416666664</v>
      </c>
      <c r="C98" t="str">
        <f t="shared" si="3"/>
        <v>2026-02</v>
      </c>
      <c r="D98" t="s">
        <v>24</v>
      </c>
      <c r="E98" t="s">
        <v>47</v>
      </c>
      <c r="F98" t="s">
        <v>18</v>
      </c>
      <c r="G98" t="s">
        <v>48</v>
      </c>
      <c r="H98" t="s">
        <v>81</v>
      </c>
      <c r="I98" s="2">
        <v>275.39999999999998</v>
      </c>
      <c r="J98" s="2">
        <v>158.4</v>
      </c>
      <c r="K98" s="3">
        <f t="shared" si="4"/>
        <v>43.623359999999998</v>
      </c>
      <c r="L98" t="s">
        <v>21</v>
      </c>
      <c r="M98" s="4">
        <v>8.0000000000000002E-3</v>
      </c>
      <c r="N98" s="5">
        <f t="shared" si="5"/>
        <v>348.98687999999999</v>
      </c>
      <c r="O98" t="s">
        <v>79</v>
      </c>
    </row>
    <row r="99" spans="1:15" x14ac:dyDescent="0.3">
      <c r="A99" t="s">
        <v>173</v>
      </c>
      <c r="B99" s="1">
        <v>46071.6875</v>
      </c>
      <c r="C99" t="str">
        <f t="shared" si="3"/>
        <v>2026-02</v>
      </c>
      <c r="D99" t="s">
        <v>46</v>
      </c>
      <c r="E99" t="s">
        <v>29</v>
      </c>
      <c r="F99" t="s">
        <v>52</v>
      </c>
      <c r="G99" t="s">
        <v>53</v>
      </c>
      <c r="H99" t="s">
        <v>54</v>
      </c>
      <c r="I99" s="2">
        <v>127.4</v>
      </c>
      <c r="J99" s="2">
        <v>65.3</v>
      </c>
      <c r="K99" s="3">
        <f t="shared" si="4"/>
        <v>8.3192199999999996</v>
      </c>
      <c r="L99" t="s">
        <v>21</v>
      </c>
      <c r="M99" s="4">
        <v>1.4999999999999999E-2</v>
      </c>
      <c r="N99" s="5">
        <f t="shared" si="5"/>
        <v>124.78829999999999</v>
      </c>
      <c r="O99" t="s">
        <v>22</v>
      </c>
    </row>
    <row r="100" spans="1:15" x14ac:dyDescent="0.3">
      <c r="A100" t="s">
        <v>174</v>
      </c>
      <c r="B100" s="1">
        <v>46058.364583333336</v>
      </c>
      <c r="C100" t="str">
        <f t="shared" si="3"/>
        <v>2026-02</v>
      </c>
      <c r="D100" t="s">
        <v>24</v>
      </c>
      <c r="E100" t="s">
        <v>47</v>
      </c>
      <c r="F100" t="s">
        <v>37</v>
      </c>
      <c r="G100" t="s">
        <v>38</v>
      </c>
      <c r="H100" t="s">
        <v>65</v>
      </c>
      <c r="I100" s="2">
        <v>58.2</v>
      </c>
      <c r="J100" s="2">
        <v>106.1</v>
      </c>
      <c r="K100" s="3">
        <f t="shared" si="4"/>
        <v>6.17502</v>
      </c>
      <c r="L100" t="s">
        <v>21</v>
      </c>
      <c r="M100" s="4">
        <v>0.02</v>
      </c>
      <c r="N100" s="5">
        <f t="shared" si="5"/>
        <v>123.5004</v>
      </c>
      <c r="O100" t="s">
        <v>39</v>
      </c>
    </row>
    <row r="101" spans="1:15" x14ac:dyDescent="0.3">
      <c r="A101" t="s">
        <v>175</v>
      </c>
      <c r="B101" s="1">
        <v>46076.770833333336</v>
      </c>
      <c r="C101" t="str">
        <f t="shared" si="3"/>
        <v>2026-02</v>
      </c>
      <c r="D101" t="s">
        <v>51</v>
      </c>
      <c r="E101" t="s">
        <v>41</v>
      </c>
      <c r="F101" t="s">
        <v>18</v>
      </c>
      <c r="G101" t="s">
        <v>19</v>
      </c>
      <c r="H101" t="s">
        <v>65</v>
      </c>
      <c r="I101" s="2">
        <v>268.10000000000002</v>
      </c>
      <c r="J101" s="2">
        <v>152.80000000000001</v>
      </c>
      <c r="K101" s="3">
        <f t="shared" si="4"/>
        <v>40.965680000000006</v>
      </c>
      <c r="L101" t="s">
        <v>21</v>
      </c>
      <c r="M101" s="4">
        <v>1.4999999999999999E-2</v>
      </c>
      <c r="N101" s="5">
        <f t="shared" si="5"/>
        <v>614.48520000000008</v>
      </c>
      <c r="O101" t="s">
        <v>22</v>
      </c>
    </row>
    <row r="102" spans="1:15" x14ac:dyDescent="0.3">
      <c r="A102" t="s">
        <v>176</v>
      </c>
      <c r="B102" s="1">
        <v>46071.34375</v>
      </c>
      <c r="C102" t="str">
        <f t="shared" si="3"/>
        <v>2026-02</v>
      </c>
      <c r="D102" t="s">
        <v>73</v>
      </c>
      <c r="E102" t="s">
        <v>47</v>
      </c>
      <c r="F102" t="s">
        <v>52</v>
      </c>
      <c r="G102" t="s">
        <v>109</v>
      </c>
      <c r="H102" t="s">
        <v>32</v>
      </c>
      <c r="I102" s="2">
        <v>111.1</v>
      </c>
      <c r="J102" s="2">
        <v>70.2</v>
      </c>
      <c r="K102" s="3">
        <f t="shared" si="4"/>
        <v>7.79922</v>
      </c>
      <c r="L102" t="s">
        <v>43</v>
      </c>
      <c r="M102" s="4">
        <v>8.0000000000000002E-3</v>
      </c>
      <c r="N102" s="5">
        <f t="shared" si="5"/>
        <v>0</v>
      </c>
      <c r="O102" t="s">
        <v>79</v>
      </c>
    </row>
    <row r="103" spans="1:15" x14ac:dyDescent="0.3">
      <c r="A103" t="s">
        <v>177</v>
      </c>
      <c r="B103" s="1">
        <v>46069.625</v>
      </c>
      <c r="C103" t="str">
        <f t="shared" si="3"/>
        <v>2026-02</v>
      </c>
      <c r="D103" t="s">
        <v>24</v>
      </c>
      <c r="E103" t="s">
        <v>17</v>
      </c>
      <c r="F103" t="s">
        <v>37</v>
      </c>
      <c r="G103" t="s">
        <v>76</v>
      </c>
      <c r="H103" t="s">
        <v>71</v>
      </c>
      <c r="I103" s="2">
        <v>105.3</v>
      </c>
      <c r="J103" s="2">
        <v>101.7</v>
      </c>
      <c r="K103" s="3">
        <f t="shared" si="4"/>
        <v>10.709010000000001</v>
      </c>
      <c r="L103" t="s">
        <v>21</v>
      </c>
      <c r="M103" s="4">
        <v>1.4999999999999999E-2</v>
      </c>
      <c r="N103" s="5">
        <f t="shared" si="5"/>
        <v>160.63515000000001</v>
      </c>
      <c r="O103" t="s">
        <v>44</v>
      </c>
    </row>
    <row r="104" spans="1:15" x14ac:dyDescent="0.3">
      <c r="A104" t="s">
        <v>178</v>
      </c>
      <c r="B104" s="1">
        <v>46063.458333333336</v>
      </c>
      <c r="C104" t="str">
        <f t="shared" si="3"/>
        <v>2026-02</v>
      </c>
      <c r="D104" t="s">
        <v>69</v>
      </c>
      <c r="E104" t="s">
        <v>36</v>
      </c>
      <c r="F104" t="s">
        <v>52</v>
      </c>
      <c r="G104" t="s">
        <v>57</v>
      </c>
      <c r="H104" t="s">
        <v>32</v>
      </c>
      <c r="I104" s="2">
        <v>113.3</v>
      </c>
      <c r="J104" s="2">
        <v>170.9</v>
      </c>
      <c r="K104" s="3">
        <f t="shared" si="4"/>
        <v>19.362970000000001</v>
      </c>
      <c r="L104" t="s">
        <v>21</v>
      </c>
      <c r="M104" s="4">
        <v>1.2E-2</v>
      </c>
      <c r="N104" s="5">
        <f t="shared" si="5"/>
        <v>232.35563999999999</v>
      </c>
      <c r="O104" t="s">
        <v>22</v>
      </c>
    </row>
    <row r="105" spans="1:15" x14ac:dyDescent="0.3">
      <c r="A105" t="s">
        <v>179</v>
      </c>
      <c r="B105" s="1">
        <v>46065.4375</v>
      </c>
      <c r="C105" t="str">
        <f t="shared" si="3"/>
        <v>2026-02</v>
      </c>
      <c r="D105" t="s">
        <v>35</v>
      </c>
      <c r="E105" t="s">
        <v>41</v>
      </c>
      <c r="F105" t="s">
        <v>63</v>
      </c>
      <c r="G105" t="s">
        <v>88</v>
      </c>
      <c r="H105" t="s">
        <v>81</v>
      </c>
      <c r="I105" s="2">
        <v>120.5</v>
      </c>
      <c r="J105" s="2">
        <v>254</v>
      </c>
      <c r="K105" s="3">
        <f t="shared" si="4"/>
        <v>30.606999999999999</v>
      </c>
      <c r="L105" t="s">
        <v>21</v>
      </c>
      <c r="M105" s="4">
        <v>0.01</v>
      </c>
      <c r="N105" s="5">
        <f t="shared" si="5"/>
        <v>306.07</v>
      </c>
      <c r="O105" t="s">
        <v>79</v>
      </c>
    </row>
    <row r="106" spans="1:15" x14ac:dyDescent="0.3">
      <c r="A106" t="s">
        <v>180</v>
      </c>
      <c r="B106" s="1">
        <v>46059.71875</v>
      </c>
      <c r="C106" t="str">
        <f t="shared" si="3"/>
        <v>2026-02</v>
      </c>
      <c r="D106" t="s">
        <v>46</v>
      </c>
      <c r="E106" t="s">
        <v>17</v>
      </c>
      <c r="F106" t="s">
        <v>63</v>
      </c>
      <c r="G106" t="s">
        <v>122</v>
      </c>
      <c r="H106" t="s">
        <v>74</v>
      </c>
      <c r="I106" s="2">
        <v>115.9</v>
      </c>
      <c r="J106" s="2">
        <v>208</v>
      </c>
      <c r="K106" s="3">
        <f t="shared" si="4"/>
        <v>24.107200000000002</v>
      </c>
      <c r="L106" t="s">
        <v>21</v>
      </c>
      <c r="M106" s="4">
        <v>1.4999999999999999E-2</v>
      </c>
      <c r="N106" s="5">
        <f t="shared" si="5"/>
        <v>361.60800000000006</v>
      </c>
      <c r="O106" t="s">
        <v>44</v>
      </c>
    </row>
    <row r="107" spans="1:15" x14ac:dyDescent="0.3">
      <c r="A107" t="s">
        <v>181</v>
      </c>
      <c r="B107" s="1">
        <v>46054.552083333336</v>
      </c>
      <c r="C107" t="str">
        <f t="shared" si="3"/>
        <v>2026-02</v>
      </c>
      <c r="D107" t="s">
        <v>73</v>
      </c>
      <c r="E107" t="s">
        <v>36</v>
      </c>
      <c r="F107" t="s">
        <v>37</v>
      </c>
      <c r="G107" t="s">
        <v>76</v>
      </c>
      <c r="H107" t="s">
        <v>49</v>
      </c>
      <c r="I107" s="2">
        <v>148.69999999999999</v>
      </c>
      <c r="J107" s="2">
        <v>143.1</v>
      </c>
      <c r="K107" s="3">
        <f t="shared" si="4"/>
        <v>21.278969999999997</v>
      </c>
      <c r="L107" t="s">
        <v>21</v>
      </c>
      <c r="M107" s="4">
        <v>8.0000000000000002E-3</v>
      </c>
      <c r="N107" s="5">
        <f t="shared" si="5"/>
        <v>170.23175999999998</v>
      </c>
      <c r="O107" t="s">
        <v>44</v>
      </c>
    </row>
    <row r="108" spans="1:15" x14ac:dyDescent="0.3">
      <c r="A108" t="s">
        <v>182</v>
      </c>
      <c r="B108" s="1">
        <v>46074.364583333336</v>
      </c>
      <c r="C108" t="str">
        <f t="shared" si="3"/>
        <v>2026-02</v>
      </c>
      <c r="D108" t="s">
        <v>16</v>
      </c>
      <c r="E108" t="s">
        <v>47</v>
      </c>
      <c r="F108" t="s">
        <v>37</v>
      </c>
      <c r="G108" t="s">
        <v>38</v>
      </c>
      <c r="H108" t="s">
        <v>59</v>
      </c>
      <c r="I108" s="2">
        <v>70.3</v>
      </c>
      <c r="J108" s="2">
        <v>75.400000000000006</v>
      </c>
      <c r="K108" s="3">
        <f t="shared" si="4"/>
        <v>5.3006200000000003</v>
      </c>
      <c r="L108" t="s">
        <v>78</v>
      </c>
      <c r="M108" s="4">
        <v>0.01</v>
      </c>
      <c r="N108" s="5">
        <f t="shared" si="5"/>
        <v>0</v>
      </c>
      <c r="O108" t="s">
        <v>79</v>
      </c>
    </row>
    <row r="109" spans="1:15" x14ac:dyDescent="0.3">
      <c r="A109" t="s">
        <v>183</v>
      </c>
      <c r="B109" s="1">
        <v>46071.354166666664</v>
      </c>
      <c r="C109" t="str">
        <f t="shared" si="3"/>
        <v>2026-02</v>
      </c>
      <c r="D109" t="s">
        <v>73</v>
      </c>
      <c r="E109" t="s">
        <v>17</v>
      </c>
      <c r="F109" t="s">
        <v>18</v>
      </c>
      <c r="G109" t="s">
        <v>19</v>
      </c>
      <c r="H109" t="s">
        <v>85</v>
      </c>
      <c r="I109" s="2">
        <v>340.5</v>
      </c>
      <c r="J109" s="2">
        <v>210.3</v>
      </c>
      <c r="K109" s="3">
        <f t="shared" si="4"/>
        <v>71.607150000000004</v>
      </c>
      <c r="L109" t="s">
        <v>21</v>
      </c>
      <c r="M109" s="4">
        <v>0.01</v>
      </c>
      <c r="N109" s="5">
        <f t="shared" si="5"/>
        <v>716.07150000000013</v>
      </c>
      <c r="O109" t="s">
        <v>44</v>
      </c>
    </row>
    <row r="110" spans="1:15" x14ac:dyDescent="0.3">
      <c r="A110" t="s">
        <v>184</v>
      </c>
      <c r="B110" s="1">
        <v>46062.59375</v>
      </c>
      <c r="C110" t="str">
        <f t="shared" si="3"/>
        <v>2026-02</v>
      </c>
      <c r="D110" t="s">
        <v>24</v>
      </c>
      <c r="E110" t="s">
        <v>29</v>
      </c>
      <c r="F110" t="s">
        <v>30</v>
      </c>
      <c r="G110" t="s">
        <v>139</v>
      </c>
      <c r="H110" t="s">
        <v>74</v>
      </c>
      <c r="I110" s="2">
        <v>219.7</v>
      </c>
      <c r="J110" s="2">
        <v>26.2</v>
      </c>
      <c r="K110" s="3">
        <f t="shared" si="4"/>
        <v>5.7561399999999994</v>
      </c>
      <c r="L110" t="s">
        <v>78</v>
      </c>
      <c r="M110" s="4">
        <v>1.2E-2</v>
      </c>
      <c r="N110" s="5">
        <f t="shared" si="5"/>
        <v>0</v>
      </c>
      <c r="O110" t="s">
        <v>39</v>
      </c>
    </row>
    <row r="111" spans="1:15" x14ac:dyDescent="0.3">
      <c r="A111" t="s">
        <v>185</v>
      </c>
      <c r="B111" s="1">
        <v>46068.520833333336</v>
      </c>
      <c r="C111" t="str">
        <f t="shared" si="3"/>
        <v>2026-02</v>
      </c>
      <c r="D111" t="s">
        <v>51</v>
      </c>
      <c r="E111" t="s">
        <v>36</v>
      </c>
      <c r="F111" t="s">
        <v>63</v>
      </c>
      <c r="G111" t="s">
        <v>64</v>
      </c>
      <c r="H111" t="s">
        <v>32</v>
      </c>
      <c r="I111" s="2">
        <v>155.5</v>
      </c>
      <c r="J111" s="2">
        <v>162.9</v>
      </c>
      <c r="K111" s="3">
        <f t="shared" si="4"/>
        <v>25.330950000000001</v>
      </c>
      <c r="L111" t="s">
        <v>78</v>
      </c>
      <c r="M111" s="4">
        <v>8.0000000000000002E-3</v>
      </c>
      <c r="N111" s="5">
        <f t="shared" si="5"/>
        <v>0</v>
      </c>
      <c r="O111" t="s">
        <v>44</v>
      </c>
    </row>
    <row r="112" spans="1:15" x14ac:dyDescent="0.3">
      <c r="A112" t="s">
        <v>186</v>
      </c>
      <c r="B112" s="1">
        <v>46059.739583333336</v>
      </c>
      <c r="C112" t="str">
        <f t="shared" si="3"/>
        <v>2026-02</v>
      </c>
      <c r="D112" t="s">
        <v>51</v>
      </c>
      <c r="E112" t="s">
        <v>36</v>
      </c>
      <c r="F112" t="s">
        <v>25</v>
      </c>
      <c r="G112" t="s">
        <v>67</v>
      </c>
      <c r="H112" t="s">
        <v>49</v>
      </c>
      <c r="I112" s="2">
        <v>108.3</v>
      </c>
      <c r="J112" s="2">
        <v>98.9</v>
      </c>
      <c r="K112" s="3">
        <f t="shared" si="4"/>
        <v>10.710870000000002</v>
      </c>
      <c r="L112" t="s">
        <v>21</v>
      </c>
      <c r="M112" s="4">
        <v>0.01</v>
      </c>
      <c r="N112" s="5">
        <f t="shared" si="5"/>
        <v>107.10870000000001</v>
      </c>
      <c r="O112" t="s">
        <v>22</v>
      </c>
    </row>
    <row r="113" spans="1:15" x14ac:dyDescent="0.3">
      <c r="A113" t="s">
        <v>187</v>
      </c>
      <c r="B113" s="1">
        <v>46059.78125</v>
      </c>
      <c r="C113" t="str">
        <f t="shared" si="3"/>
        <v>2026-02</v>
      </c>
      <c r="D113" t="s">
        <v>46</v>
      </c>
      <c r="E113" t="s">
        <v>36</v>
      </c>
      <c r="F113" t="s">
        <v>18</v>
      </c>
      <c r="G113" t="s">
        <v>19</v>
      </c>
      <c r="H113" t="s">
        <v>74</v>
      </c>
      <c r="I113" s="2">
        <v>193.3</v>
      </c>
      <c r="J113" s="2">
        <v>228</v>
      </c>
      <c r="K113" s="3">
        <f t="shared" si="4"/>
        <v>44.072400000000002</v>
      </c>
      <c r="L113" t="s">
        <v>55</v>
      </c>
      <c r="M113" s="4">
        <v>8.0000000000000002E-3</v>
      </c>
      <c r="N113" s="5">
        <f t="shared" si="5"/>
        <v>0</v>
      </c>
      <c r="O113" t="s">
        <v>79</v>
      </c>
    </row>
    <row r="114" spans="1:15" x14ac:dyDescent="0.3">
      <c r="A114" t="s">
        <v>188</v>
      </c>
      <c r="B114" s="1">
        <v>46063.46875</v>
      </c>
      <c r="C114" t="str">
        <f t="shared" si="3"/>
        <v>2026-02</v>
      </c>
      <c r="D114" t="s">
        <v>107</v>
      </c>
      <c r="E114" t="s">
        <v>29</v>
      </c>
      <c r="F114" t="s">
        <v>25</v>
      </c>
      <c r="G114" t="s">
        <v>26</v>
      </c>
      <c r="H114" t="s">
        <v>71</v>
      </c>
      <c r="I114" s="2">
        <v>138.69999999999999</v>
      </c>
      <c r="J114" s="2">
        <v>85.1</v>
      </c>
      <c r="K114" s="3">
        <f t="shared" si="4"/>
        <v>11.803369999999999</v>
      </c>
      <c r="L114" t="s">
        <v>21</v>
      </c>
      <c r="M114" s="4">
        <v>1.2E-2</v>
      </c>
      <c r="N114" s="5">
        <f t="shared" si="5"/>
        <v>141.64044000000001</v>
      </c>
      <c r="O114" t="s">
        <v>39</v>
      </c>
    </row>
    <row r="115" spans="1:15" x14ac:dyDescent="0.3">
      <c r="A115" t="s">
        <v>189</v>
      </c>
      <c r="B115" s="1">
        <v>46057.770833333336</v>
      </c>
      <c r="C115" t="str">
        <f t="shared" si="3"/>
        <v>2026-02</v>
      </c>
      <c r="D115" t="s">
        <v>46</v>
      </c>
      <c r="E115" t="s">
        <v>29</v>
      </c>
      <c r="F115" t="s">
        <v>63</v>
      </c>
      <c r="G115" t="s">
        <v>64</v>
      </c>
      <c r="H115" t="s">
        <v>65</v>
      </c>
      <c r="I115" s="2">
        <v>94.4</v>
      </c>
      <c r="J115" s="2">
        <v>266.2</v>
      </c>
      <c r="K115" s="3">
        <f t="shared" si="4"/>
        <v>25.129279999999998</v>
      </c>
      <c r="L115" t="s">
        <v>21</v>
      </c>
      <c r="M115" s="4">
        <v>0.01</v>
      </c>
      <c r="N115" s="5">
        <f t="shared" si="5"/>
        <v>251.29279999999997</v>
      </c>
      <c r="O115" t="s">
        <v>33</v>
      </c>
    </row>
    <row r="116" spans="1:15" x14ac:dyDescent="0.3">
      <c r="A116" t="s">
        <v>190</v>
      </c>
      <c r="B116" s="1">
        <v>46078.645833333336</v>
      </c>
      <c r="C116" t="str">
        <f t="shared" si="3"/>
        <v>2026-02</v>
      </c>
      <c r="D116" t="s">
        <v>51</v>
      </c>
      <c r="E116" t="s">
        <v>29</v>
      </c>
      <c r="F116" t="s">
        <v>52</v>
      </c>
      <c r="G116" t="s">
        <v>57</v>
      </c>
      <c r="H116" t="s">
        <v>61</v>
      </c>
      <c r="I116" s="2">
        <v>60</v>
      </c>
      <c r="J116" s="2">
        <v>178.6</v>
      </c>
      <c r="K116" s="3">
        <f t="shared" si="4"/>
        <v>10.715999999999999</v>
      </c>
      <c r="L116" t="s">
        <v>55</v>
      </c>
      <c r="M116" s="4">
        <v>0.01</v>
      </c>
      <c r="N116" s="5">
        <f t="shared" si="5"/>
        <v>0</v>
      </c>
      <c r="O116" t="s">
        <v>79</v>
      </c>
    </row>
    <row r="117" spans="1:15" x14ac:dyDescent="0.3">
      <c r="A117" t="s">
        <v>191</v>
      </c>
      <c r="B117" s="1">
        <v>46077.354166666664</v>
      </c>
      <c r="C117" t="str">
        <f t="shared" si="3"/>
        <v>2026-02</v>
      </c>
      <c r="D117" t="s">
        <v>107</v>
      </c>
      <c r="E117" t="s">
        <v>36</v>
      </c>
      <c r="F117" t="s">
        <v>63</v>
      </c>
      <c r="G117" t="s">
        <v>88</v>
      </c>
      <c r="H117" t="s">
        <v>20</v>
      </c>
      <c r="I117" s="2">
        <v>138.5</v>
      </c>
      <c r="J117" s="2">
        <v>184</v>
      </c>
      <c r="K117" s="3">
        <f t="shared" si="4"/>
        <v>25.484000000000002</v>
      </c>
      <c r="L117" t="s">
        <v>21</v>
      </c>
      <c r="M117" s="4">
        <v>1.2E-2</v>
      </c>
      <c r="N117" s="5">
        <f t="shared" si="5"/>
        <v>305.80800000000005</v>
      </c>
      <c r="O117" t="s">
        <v>44</v>
      </c>
    </row>
    <row r="118" spans="1:15" x14ac:dyDescent="0.3">
      <c r="A118" t="s">
        <v>192</v>
      </c>
      <c r="B118" s="1">
        <v>46074.520833333336</v>
      </c>
      <c r="C118" t="str">
        <f t="shared" si="3"/>
        <v>2026-02</v>
      </c>
      <c r="D118" t="s">
        <v>107</v>
      </c>
      <c r="E118" t="s">
        <v>29</v>
      </c>
      <c r="F118" t="s">
        <v>25</v>
      </c>
      <c r="G118" t="s">
        <v>26</v>
      </c>
      <c r="H118" t="s">
        <v>61</v>
      </c>
      <c r="I118" s="2">
        <v>65.599999999999994</v>
      </c>
      <c r="J118" s="2">
        <v>87.8</v>
      </c>
      <c r="K118" s="3">
        <f t="shared" si="4"/>
        <v>5.7596799999999995</v>
      </c>
      <c r="L118" t="s">
        <v>21</v>
      </c>
      <c r="M118" s="4">
        <v>1.4999999999999999E-2</v>
      </c>
      <c r="N118" s="5">
        <f t="shared" si="5"/>
        <v>86.395199999999988</v>
      </c>
      <c r="O118" t="s">
        <v>79</v>
      </c>
    </row>
    <row r="119" spans="1:15" x14ac:dyDescent="0.3">
      <c r="A119" t="s">
        <v>193</v>
      </c>
      <c r="B119" s="1">
        <v>46062.604166666664</v>
      </c>
      <c r="C119" t="str">
        <f t="shared" si="3"/>
        <v>2026-02</v>
      </c>
      <c r="D119" t="s">
        <v>46</v>
      </c>
      <c r="E119" t="s">
        <v>36</v>
      </c>
      <c r="F119" t="s">
        <v>25</v>
      </c>
      <c r="G119" t="s">
        <v>64</v>
      </c>
      <c r="H119" t="s">
        <v>74</v>
      </c>
      <c r="I119" s="2">
        <v>130.5</v>
      </c>
      <c r="J119" s="2">
        <v>87.6</v>
      </c>
      <c r="K119" s="3">
        <f t="shared" si="4"/>
        <v>11.431799999999999</v>
      </c>
      <c r="L119" t="s">
        <v>21</v>
      </c>
      <c r="M119" s="4">
        <v>0.01</v>
      </c>
      <c r="N119" s="5">
        <f t="shared" si="5"/>
        <v>114.31799999999998</v>
      </c>
      <c r="O119" t="s">
        <v>79</v>
      </c>
    </row>
    <row r="120" spans="1:15" x14ac:dyDescent="0.3">
      <c r="A120" t="s">
        <v>194</v>
      </c>
      <c r="B120" s="1">
        <v>46076.40625</v>
      </c>
      <c r="C120" t="str">
        <f t="shared" si="3"/>
        <v>2026-02</v>
      </c>
      <c r="D120" t="s">
        <v>24</v>
      </c>
      <c r="E120" t="s">
        <v>47</v>
      </c>
      <c r="F120" t="s">
        <v>25</v>
      </c>
      <c r="G120" t="s">
        <v>67</v>
      </c>
      <c r="H120" t="s">
        <v>74</v>
      </c>
      <c r="I120" s="2">
        <v>73.2</v>
      </c>
      <c r="J120" s="2">
        <v>113.7</v>
      </c>
      <c r="K120" s="3">
        <f t="shared" si="4"/>
        <v>8.3228399999999993</v>
      </c>
      <c r="L120" t="s">
        <v>21</v>
      </c>
      <c r="M120" s="4">
        <v>8.0000000000000002E-3</v>
      </c>
      <c r="N120" s="5">
        <f t="shared" si="5"/>
        <v>66.582719999999995</v>
      </c>
      <c r="O120" t="s">
        <v>39</v>
      </c>
    </row>
    <row r="121" spans="1:15" x14ac:dyDescent="0.3">
      <c r="A121" t="s">
        <v>195</v>
      </c>
      <c r="B121" s="1">
        <v>46064.447916666664</v>
      </c>
      <c r="C121" t="str">
        <f t="shared" si="3"/>
        <v>2026-02</v>
      </c>
      <c r="D121" t="s">
        <v>73</v>
      </c>
      <c r="E121" t="s">
        <v>41</v>
      </c>
      <c r="F121" t="s">
        <v>18</v>
      </c>
      <c r="G121" t="s">
        <v>19</v>
      </c>
      <c r="H121" t="s">
        <v>32</v>
      </c>
      <c r="I121" s="2">
        <v>231.8</v>
      </c>
      <c r="J121" s="2">
        <v>158.5</v>
      </c>
      <c r="K121" s="3">
        <f t="shared" si="4"/>
        <v>36.740300000000005</v>
      </c>
      <c r="L121" t="s">
        <v>43</v>
      </c>
      <c r="M121" s="4">
        <v>1.4999999999999999E-2</v>
      </c>
      <c r="N121" s="5">
        <f t="shared" si="5"/>
        <v>0</v>
      </c>
      <c r="O121" t="s">
        <v>22</v>
      </c>
    </row>
    <row r="122" spans="1:15" x14ac:dyDescent="0.3">
      <c r="A122" t="s">
        <v>196</v>
      </c>
      <c r="B122" s="1">
        <v>46085.416666666664</v>
      </c>
      <c r="C122" t="str">
        <f t="shared" si="3"/>
        <v>2026-03</v>
      </c>
      <c r="D122" t="s">
        <v>46</v>
      </c>
      <c r="E122" t="s">
        <v>29</v>
      </c>
      <c r="F122" t="s">
        <v>25</v>
      </c>
      <c r="G122" t="s">
        <v>64</v>
      </c>
      <c r="H122" t="s">
        <v>81</v>
      </c>
      <c r="I122" s="2">
        <v>62.1</v>
      </c>
      <c r="J122" s="2">
        <v>87.9</v>
      </c>
      <c r="K122" s="3">
        <f t="shared" si="4"/>
        <v>5.4585900000000001</v>
      </c>
      <c r="L122" t="s">
        <v>21</v>
      </c>
      <c r="M122" s="4">
        <v>8.0000000000000002E-3</v>
      </c>
      <c r="N122" s="5">
        <f t="shared" si="5"/>
        <v>43.66872</v>
      </c>
      <c r="O122" t="s">
        <v>79</v>
      </c>
    </row>
    <row r="123" spans="1:15" x14ac:dyDescent="0.3">
      <c r="A123" t="s">
        <v>197</v>
      </c>
      <c r="B123" s="1">
        <v>46083.510416666664</v>
      </c>
      <c r="C123" t="str">
        <f t="shared" si="3"/>
        <v>2026-03</v>
      </c>
      <c r="D123" t="s">
        <v>35</v>
      </c>
      <c r="E123" t="s">
        <v>36</v>
      </c>
      <c r="F123" t="s">
        <v>63</v>
      </c>
      <c r="G123" t="s">
        <v>67</v>
      </c>
      <c r="H123" t="s">
        <v>20</v>
      </c>
      <c r="I123" s="2">
        <v>206.5</v>
      </c>
      <c r="J123" s="2">
        <v>260.5</v>
      </c>
      <c r="K123" s="3">
        <f t="shared" si="4"/>
        <v>53.79325</v>
      </c>
      <c r="L123" t="s">
        <v>21</v>
      </c>
      <c r="M123" s="4">
        <v>0.01</v>
      </c>
      <c r="N123" s="5">
        <f t="shared" si="5"/>
        <v>537.9325</v>
      </c>
      <c r="O123" t="s">
        <v>33</v>
      </c>
    </row>
    <row r="124" spans="1:15" x14ac:dyDescent="0.3">
      <c r="A124" t="s">
        <v>198</v>
      </c>
      <c r="B124" s="1">
        <v>46090.510416666664</v>
      </c>
      <c r="C124" t="str">
        <f t="shared" si="3"/>
        <v>2026-03</v>
      </c>
      <c r="D124" t="s">
        <v>35</v>
      </c>
      <c r="E124" t="s">
        <v>29</v>
      </c>
      <c r="F124" t="s">
        <v>37</v>
      </c>
      <c r="G124" t="s">
        <v>70</v>
      </c>
      <c r="H124" t="s">
        <v>71</v>
      </c>
      <c r="I124" s="2">
        <v>132.30000000000001</v>
      </c>
      <c r="J124" s="2">
        <v>206.9</v>
      </c>
      <c r="K124" s="3">
        <f t="shared" si="4"/>
        <v>27.372870000000002</v>
      </c>
      <c r="L124" t="s">
        <v>78</v>
      </c>
      <c r="M124" s="4">
        <v>0.01</v>
      </c>
      <c r="N124" s="5">
        <f t="shared" si="5"/>
        <v>0</v>
      </c>
      <c r="O124" t="s">
        <v>44</v>
      </c>
    </row>
    <row r="125" spans="1:15" x14ac:dyDescent="0.3">
      <c r="A125" t="s">
        <v>199</v>
      </c>
      <c r="B125" s="1">
        <v>46091.479166666664</v>
      </c>
      <c r="C125" t="str">
        <f t="shared" si="3"/>
        <v>2026-03</v>
      </c>
      <c r="D125" t="s">
        <v>51</v>
      </c>
      <c r="E125" t="s">
        <v>17</v>
      </c>
      <c r="F125" t="s">
        <v>63</v>
      </c>
      <c r="G125" t="s">
        <v>122</v>
      </c>
      <c r="H125" t="s">
        <v>85</v>
      </c>
      <c r="I125" s="2">
        <v>96.1</v>
      </c>
      <c r="J125" s="2">
        <v>221</v>
      </c>
      <c r="K125" s="3">
        <f t="shared" si="4"/>
        <v>21.238099999999999</v>
      </c>
      <c r="L125" t="s">
        <v>21</v>
      </c>
      <c r="M125" s="4">
        <v>1.2E-2</v>
      </c>
      <c r="N125" s="5">
        <f t="shared" si="5"/>
        <v>254.85720000000001</v>
      </c>
      <c r="O125" t="s">
        <v>79</v>
      </c>
    </row>
    <row r="126" spans="1:15" x14ac:dyDescent="0.3">
      <c r="A126" t="s">
        <v>200</v>
      </c>
      <c r="B126" s="1">
        <v>46106.552083333336</v>
      </c>
      <c r="C126" t="str">
        <f t="shared" si="3"/>
        <v>2026-03</v>
      </c>
      <c r="D126" t="s">
        <v>46</v>
      </c>
      <c r="E126" t="s">
        <v>29</v>
      </c>
      <c r="F126" t="s">
        <v>52</v>
      </c>
      <c r="G126" t="s">
        <v>53</v>
      </c>
      <c r="H126" t="s">
        <v>74</v>
      </c>
      <c r="I126" s="2">
        <v>103.3</v>
      </c>
      <c r="J126" s="2">
        <v>169.9</v>
      </c>
      <c r="K126" s="3">
        <f t="shared" si="4"/>
        <v>17.55067</v>
      </c>
      <c r="L126" t="s">
        <v>43</v>
      </c>
      <c r="M126" s="4">
        <v>1.4999999999999999E-2</v>
      </c>
      <c r="N126" s="5">
        <f t="shared" si="5"/>
        <v>0</v>
      </c>
      <c r="O126" t="s">
        <v>33</v>
      </c>
    </row>
    <row r="127" spans="1:15" x14ac:dyDescent="0.3">
      <c r="A127" t="s">
        <v>201</v>
      </c>
      <c r="B127" s="1">
        <v>46094.677083333336</v>
      </c>
      <c r="C127" t="str">
        <f t="shared" si="3"/>
        <v>2026-03</v>
      </c>
      <c r="D127" t="s">
        <v>16</v>
      </c>
      <c r="E127" t="s">
        <v>36</v>
      </c>
      <c r="F127" t="s">
        <v>18</v>
      </c>
      <c r="G127" t="s">
        <v>64</v>
      </c>
      <c r="H127" t="s">
        <v>59</v>
      </c>
      <c r="I127" s="2">
        <v>426.9</v>
      </c>
      <c r="J127" s="2">
        <v>108</v>
      </c>
      <c r="K127" s="3">
        <f t="shared" si="4"/>
        <v>46.105199999999996</v>
      </c>
      <c r="L127" t="s">
        <v>43</v>
      </c>
      <c r="M127" s="4">
        <v>8.0000000000000002E-3</v>
      </c>
      <c r="N127" s="5">
        <f t="shared" si="5"/>
        <v>0</v>
      </c>
      <c r="O127" t="s">
        <v>44</v>
      </c>
    </row>
    <row r="128" spans="1:15" x14ac:dyDescent="0.3">
      <c r="A128" t="s">
        <v>202</v>
      </c>
      <c r="B128" s="1">
        <v>46087.677083333336</v>
      </c>
      <c r="C128" t="str">
        <f t="shared" si="3"/>
        <v>2026-03</v>
      </c>
      <c r="D128" t="s">
        <v>69</v>
      </c>
      <c r="E128" t="s">
        <v>41</v>
      </c>
      <c r="F128" t="s">
        <v>25</v>
      </c>
      <c r="G128" t="s">
        <v>102</v>
      </c>
      <c r="H128" t="s">
        <v>65</v>
      </c>
      <c r="I128" s="2">
        <v>113</v>
      </c>
      <c r="J128" s="2">
        <v>66.099999999999994</v>
      </c>
      <c r="K128" s="3">
        <f t="shared" si="4"/>
        <v>7.4692999999999996</v>
      </c>
      <c r="L128" t="s">
        <v>78</v>
      </c>
      <c r="M128" s="4">
        <v>1.4999999999999999E-2</v>
      </c>
      <c r="N128" s="5">
        <f t="shared" si="5"/>
        <v>0</v>
      </c>
      <c r="O128" t="s">
        <v>79</v>
      </c>
    </row>
    <row r="129" spans="1:15" x14ac:dyDescent="0.3">
      <c r="A129" t="s">
        <v>203</v>
      </c>
      <c r="B129" s="1">
        <v>46082.447916666664</v>
      </c>
      <c r="C129" t="str">
        <f t="shared" si="3"/>
        <v>2026-03</v>
      </c>
      <c r="D129" t="s">
        <v>69</v>
      </c>
      <c r="E129" t="s">
        <v>17</v>
      </c>
      <c r="F129" t="s">
        <v>18</v>
      </c>
      <c r="G129" t="s">
        <v>48</v>
      </c>
      <c r="H129" t="s">
        <v>81</v>
      </c>
      <c r="I129" s="2">
        <v>436.4</v>
      </c>
      <c r="J129" s="2">
        <v>186.6</v>
      </c>
      <c r="K129" s="3">
        <f t="shared" si="4"/>
        <v>81.432239999999993</v>
      </c>
      <c r="L129" t="s">
        <v>21</v>
      </c>
      <c r="M129" s="4">
        <v>0.02</v>
      </c>
      <c r="N129" s="5">
        <f t="shared" si="5"/>
        <v>1628.6448</v>
      </c>
      <c r="O129" t="s">
        <v>44</v>
      </c>
    </row>
    <row r="130" spans="1:15" x14ac:dyDescent="0.3">
      <c r="A130" t="s">
        <v>204</v>
      </c>
      <c r="B130" s="1">
        <v>46092.5625</v>
      </c>
      <c r="C130" t="str">
        <f t="shared" si="3"/>
        <v>2026-03</v>
      </c>
      <c r="D130" t="s">
        <v>51</v>
      </c>
      <c r="E130" t="s">
        <v>29</v>
      </c>
      <c r="F130" t="s">
        <v>30</v>
      </c>
      <c r="G130" t="s">
        <v>31</v>
      </c>
      <c r="H130" t="s">
        <v>85</v>
      </c>
      <c r="I130" s="2">
        <v>91</v>
      </c>
      <c r="J130" s="2">
        <v>31.3</v>
      </c>
      <c r="K130" s="3">
        <f t="shared" si="4"/>
        <v>2.8483000000000001</v>
      </c>
      <c r="L130" t="s">
        <v>21</v>
      </c>
      <c r="M130" s="4">
        <v>0.01</v>
      </c>
      <c r="N130" s="5">
        <f t="shared" si="5"/>
        <v>28.483000000000001</v>
      </c>
      <c r="O130" t="s">
        <v>44</v>
      </c>
    </row>
    <row r="131" spans="1:15" x14ac:dyDescent="0.3">
      <c r="A131" t="s">
        <v>205</v>
      </c>
      <c r="B131" s="1">
        <v>46083.354166666664</v>
      </c>
      <c r="C131" t="str">
        <f t="shared" ref="C131:C194" si="6">TEXT(B131,"yyyy-mm")</f>
        <v>2026-03</v>
      </c>
      <c r="D131" t="s">
        <v>16</v>
      </c>
      <c r="E131" t="s">
        <v>47</v>
      </c>
      <c r="F131" t="s">
        <v>18</v>
      </c>
      <c r="G131" t="s">
        <v>64</v>
      </c>
      <c r="H131" t="s">
        <v>71</v>
      </c>
      <c r="I131" s="2">
        <v>242</v>
      </c>
      <c r="J131" s="2">
        <v>177.5</v>
      </c>
      <c r="K131" s="3">
        <f t="shared" ref="K131:K194" si="7">I131*J131/1000</f>
        <v>42.954999999999998</v>
      </c>
      <c r="L131" t="s">
        <v>78</v>
      </c>
      <c r="M131" s="4">
        <v>0.02</v>
      </c>
      <c r="N131" s="5">
        <f t="shared" ref="N131:N194" si="8">IF(L131="Đã bán",K131*M131*1000,0)</f>
        <v>0</v>
      </c>
      <c r="O131" t="s">
        <v>44</v>
      </c>
    </row>
    <row r="132" spans="1:15" x14ac:dyDescent="0.3">
      <c r="A132" t="s">
        <v>206</v>
      </c>
      <c r="B132" s="1">
        <v>46103.666666666664</v>
      </c>
      <c r="C132" t="str">
        <f t="shared" si="6"/>
        <v>2026-03</v>
      </c>
      <c r="D132" t="s">
        <v>73</v>
      </c>
      <c r="E132" t="s">
        <v>29</v>
      </c>
      <c r="F132" t="s">
        <v>63</v>
      </c>
      <c r="G132" t="s">
        <v>88</v>
      </c>
      <c r="H132" t="s">
        <v>81</v>
      </c>
      <c r="I132" s="2">
        <v>94</v>
      </c>
      <c r="J132" s="2">
        <v>254.1</v>
      </c>
      <c r="K132" s="3">
        <f t="shared" si="7"/>
        <v>23.885399999999997</v>
      </c>
      <c r="L132" t="s">
        <v>21</v>
      </c>
      <c r="M132" s="4">
        <v>8.0000000000000002E-3</v>
      </c>
      <c r="N132" s="5">
        <f t="shared" si="8"/>
        <v>191.08319999999998</v>
      </c>
      <c r="O132" t="s">
        <v>44</v>
      </c>
    </row>
    <row r="133" spans="1:15" x14ac:dyDescent="0.3">
      <c r="A133" t="s">
        <v>207</v>
      </c>
      <c r="B133" s="1">
        <v>46104.385416666664</v>
      </c>
      <c r="C133" t="str">
        <f t="shared" si="6"/>
        <v>2026-03</v>
      </c>
      <c r="D133" t="s">
        <v>69</v>
      </c>
      <c r="E133" t="s">
        <v>17</v>
      </c>
      <c r="F133" t="s">
        <v>30</v>
      </c>
      <c r="G133" t="s">
        <v>139</v>
      </c>
      <c r="H133" t="s">
        <v>71</v>
      </c>
      <c r="I133" s="2">
        <v>129</v>
      </c>
      <c r="J133" s="2">
        <v>48.2</v>
      </c>
      <c r="K133" s="3">
        <f t="shared" si="7"/>
        <v>6.2178000000000004</v>
      </c>
      <c r="L133" t="s">
        <v>43</v>
      </c>
      <c r="M133" s="4">
        <v>1.4999999999999999E-2</v>
      </c>
      <c r="N133" s="5">
        <f t="shared" si="8"/>
        <v>0</v>
      </c>
      <c r="O133" t="s">
        <v>39</v>
      </c>
    </row>
    <row r="134" spans="1:15" x14ac:dyDescent="0.3">
      <c r="A134" t="s">
        <v>208</v>
      </c>
      <c r="B134" s="1">
        <v>46086.46875</v>
      </c>
      <c r="C134" t="str">
        <f t="shared" si="6"/>
        <v>2026-03</v>
      </c>
      <c r="D134" t="s">
        <v>107</v>
      </c>
      <c r="E134" t="s">
        <v>41</v>
      </c>
      <c r="F134" t="s">
        <v>37</v>
      </c>
      <c r="G134" t="s">
        <v>76</v>
      </c>
      <c r="H134" t="s">
        <v>49</v>
      </c>
      <c r="I134" s="2">
        <v>136.5</v>
      </c>
      <c r="J134" s="2">
        <v>111.6</v>
      </c>
      <c r="K134" s="3">
        <f t="shared" si="7"/>
        <v>15.2334</v>
      </c>
      <c r="L134" t="s">
        <v>21</v>
      </c>
      <c r="M134" s="4">
        <v>1.2E-2</v>
      </c>
      <c r="N134" s="5">
        <f t="shared" si="8"/>
        <v>182.80079999999998</v>
      </c>
      <c r="O134" t="s">
        <v>44</v>
      </c>
    </row>
    <row r="135" spans="1:15" x14ac:dyDescent="0.3">
      <c r="A135" t="s">
        <v>209</v>
      </c>
      <c r="B135" s="1">
        <v>46106.375</v>
      </c>
      <c r="C135" t="str">
        <f t="shared" si="6"/>
        <v>2026-03</v>
      </c>
      <c r="D135" t="s">
        <v>51</v>
      </c>
      <c r="E135" t="s">
        <v>29</v>
      </c>
      <c r="F135" t="s">
        <v>18</v>
      </c>
      <c r="G135" t="s">
        <v>64</v>
      </c>
      <c r="H135" t="s">
        <v>27</v>
      </c>
      <c r="I135" s="2">
        <v>406.6</v>
      </c>
      <c r="J135" s="2">
        <v>184.1</v>
      </c>
      <c r="K135" s="3">
        <f t="shared" si="7"/>
        <v>74.855059999999995</v>
      </c>
      <c r="L135" t="s">
        <v>55</v>
      </c>
      <c r="M135" s="4">
        <v>1.2E-2</v>
      </c>
      <c r="N135" s="5">
        <f t="shared" si="8"/>
        <v>0</v>
      </c>
      <c r="O135" t="s">
        <v>39</v>
      </c>
    </row>
    <row r="136" spans="1:15" x14ac:dyDescent="0.3">
      <c r="A136" t="s">
        <v>210</v>
      </c>
      <c r="B136" s="1">
        <v>46103.770833333336</v>
      </c>
      <c r="C136" t="str">
        <f t="shared" si="6"/>
        <v>2026-03</v>
      </c>
      <c r="D136" t="s">
        <v>35</v>
      </c>
      <c r="E136" t="s">
        <v>47</v>
      </c>
      <c r="F136" t="s">
        <v>30</v>
      </c>
      <c r="G136" t="s">
        <v>42</v>
      </c>
      <c r="H136" t="s">
        <v>71</v>
      </c>
      <c r="I136" s="2">
        <v>94.6</v>
      </c>
      <c r="J136" s="2">
        <v>23.4</v>
      </c>
      <c r="K136" s="3">
        <f t="shared" si="7"/>
        <v>2.2136399999999998</v>
      </c>
      <c r="L136" t="s">
        <v>55</v>
      </c>
      <c r="M136" s="4">
        <v>1.4999999999999999E-2</v>
      </c>
      <c r="N136" s="5">
        <f t="shared" si="8"/>
        <v>0</v>
      </c>
      <c r="O136" t="s">
        <v>79</v>
      </c>
    </row>
    <row r="137" spans="1:15" x14ac:dyDescent="0.3">
      <c r="A137" t="s">
        <v>211</v>
      </c>
      <c r="B137" s="1">
        <v>46092.666666666664</v>
      </c>
      <c r="C137" t="str">
        <f t="shared" si="6"/>
        <v>2026-03</v>
      </c>
      <c r="D137" t="s">
        <v>51</v>
      </c>
      <c r="E137" t="s">
        <v>47</v>
      </c>
      <c r="F137" t="s">
        <v>52</v>
      </c>
      <c r="G137" t="s">
        <v>109</v>
      </c>
      <c r="H137" t="s">
        <v>27</v>
      </c>
      <c r="I137" s="2">
        <v>140.1</v>
      </c>
      <c r="J137" s="2">
        <v>122.4</v>
      </c>
      <c r="K137" s="3">
        <f t="shared" si="7"/>
        <v>17.148240000000001</v>
      </c>
      <c r="L137" t="s">
        <v>43</v>
      </c>
      <c r="M137" s="4">
        <v>1.2E-2</v>
      </c>
      <c r="N137" s="5">
        <f t="shared" si="8"/>
        <v>0</v>
      </c>
      <c r="O137" t="s">
        <v>22</v>
      </c>
    </row>
    <row r="138" spans="1:15" x14ac:dyDescent="0.3">
      <c r="A138" t="s">
        <v>212</v>
      </c>
      <c r="B138" s="1">
        <v>46089.729166666664</v>
      </c>
      <c r="C138" t="str">
        <f t="shared" si="6"/>
        <v>2026-03</v>
      </c>
      <c r="D138" t="s">
        <v>24</v>
      </c>
      <c r="E138" t="s">
        <v>36</v>
      </c>
      <c r="F138" t="s">
        <v>52</v>
      </c>
      <c r="G138" t="s">
        <v>53</v>
      </c>
      <c r="H138" t="s">
        <v>49</v>
      </c>
      <c r="I138" s="2">
        <v>101.4</v>
      </c>
      <c r="J138" s="2">
        <v>107</v>
      </c>
      <c r="K138" s="3">
        <f t="shared" si="7"/>
        <v>10.849800000000002</v>
      </c>
      <c r="L138" t="s">
        <v>21</v>
      </c>
      <c r="M138" s="4">
        <v>1.2E-2</v>
      </c>
      <c r="N138" s="5">
        <f t="shared" si="8"/>
        <v>130.19760000000002</v>
      </c>
      <c r="O138" t="s">
        <v>39</v>
      </c>
    </row>
    <row r="139" spans="1:15" x14ac:dyDescent="0.3">
      <c r="A139" t="s">
        <v>213</v>
      </c>
      <c r="B139" s="1">
        <v>46099.458333333336</v>
      </c>
      <c r="C139" t="str">
        <f t="shared" si="6"/>
        <v>2026-03</v>
      </c>
      <c r="D139" t="s">
        <v>73</v>
      </c>
      <c r="E139" t="s">
        <v>36</v>
      </c>
      <c r="F139" t="s">
        <v>25</v>
      </c>
      <c r="G139" t="s">
        <v>67</v>
      </c>
      <c r="H139" t="s">
        <v>74</v>
      </c>
      <c r="I139" s="2">
        <v>78.8</v>
      </c>
      <c r="J139" s="2">
        <v>112.6</v>
      </c>
      <c r="K139" s="3">
        <f t="shared" si="7"/>
        <v>8.8728799999999985</v>
      </c>
      <c r="L139" t="s">
        <v>55</v>
      </c>
      <c r="M139" s="4">
        <v>0.01</v>
      </c>
      <c r="N139" s="5">
        <f t="shared" si="8"/>
        <v>0</v>
      </c>
      <c r="O139" t="s">
        <v>79</v>
      </c>
    </row>
    <row r="140" spans="1:15" x14ac:dyDescent="0.3">
      <c r="A140" t="s">
        <v>214</v>
      </c>
      <c r="B140" s="1">
        <v>46106.583333333336</v>
      </c>
      <c r="C140" t="str">
        <f t="shared" si="6"/>
        <v>2026-03</v>
      </c>
      <c r="D140" t="s">
        <v>35</v>
      </c>
      <c r="E140" t="s">
        <v>47</v>
      </c>
      <c r="F140" t="s">
        <v>63</v>
      </c>
      <c r="G140" t="s">
        <v>88</v>
      </c>
      <c r="H140" t="s">
        <v>81</v>
      </c>
      <c r="I140" s="2">
        <v>91.2</v>
      </c>
      <c r="J140" s="2">
        <v>254.9</v>
      </c>
      <c r="K140" s="3">
        <f t="shared" si="7"/>
        <v>23.246880000000001</v>
      </c>
      <c r="L140" t="s">
        <v>55</v>
      </c>
      <c r="M140" s="4">
        <v>0.02</v>
      </c>
      <c r="N140" s="5">
        <f t="shared" si="8"/>
        <v>0</v>
      </c>
      <c r="O140" t="s">
        <v>33</v>
      </c>
    </row>
    <row r="141" spans="1:15" x14ac:dyDescent="0.3">
      <c r="A141" t="s">
        <v>215</v>
      </c>
      <c r="B141" s="1">
        <v>46091.6875</v>
      </c>
      <c r="C141" t="str">
        <f t="shared" si="6"/>
        <v>2026-03</v>
      </c>
      <c r="D141" t="s">
        <v>107</v>
      </c>
      <c r="E141" t="s">
        <v>36</v>
      </c>
      <c r="F141" t="s">
        <v>63</v>
      </c>
      <c r="G141" t="s">
        <v>122</v>
      </c>
      <c r="H141" t="s">
        <v>65</v>
      </c>
      <c r="I141" s="2">
        <v>105</v>
      </c>
      <c r="J141" s="2">
        <v>99.2</v>
      </c>
      <c r="K141" s="3">
        <f t="shared" si="7"/>
        <v>10.416</v>
      </c>
      <c r="L141" t="s">
        <v>21</v>
      </c>
      <c r="M141" s="4">
        <v>1.4999999999999999E-2</v>
      </c>
      <c r="N141" s="5">
        <f t="shared" si="8"/>
        <v>156.23999999999998</v>
      </c>
      <c r="O141" t="s">
        <v>44</v>
      </c>
    </row>
    <row r="142" spans="1:15" x14ac:dyDescent="0.3">
      <c r="A142" t="s">
        <v>216</v>
      </c>
      <c r="B142" s="1">
        <v>46099.489583333336</v>
      </c>
      <c r="C142" t="str">
        <f t="shared" si="6"/>
        <v>2026-03</v>
      </c>
      <c r="D142" t="s">
        <v>35</v>
      </c>
      <c r="E142" t="s">
        <v>17</v>
      </c>
      <c r="F142" t="s">
        <v>37</v>
      </c>
      <c r="G142" t="s">
        <v>76</v>
      </c>
      <c r="H142" t="s">
        <v>59</v>
      </c>
      <c r="I142" s="2">
        <v>110.5</v>
      </c>
      <c r="J142" s="2">
        <v>136.6</v>
      </c>
      <c r="K142" s="3">
        <f t="shared" si="7"/>
        <v>15.094299999999999</v>
      </c>
      <c r="L142" t="s">
        <v>21</v>
      </c>
      <c r="M142" s="4">
        <v>1.4999999999999999E-2</v>
      </c>
      <c r="N142" s="5">
        <f t="shared" si="8"/>
        <v>226.41449999999998</v>
      </c>
      <c r="O142" t="s">
        <v>79</v>
      </c>
    </row>
    <row r="143" spans="1:15" x14ac:dyDescent="0.3">
      <c r="A143" t="s">
        <v>217</v>
      </c>
      <c r="B143" s="1">
        <v>46094.75</v>
      </c>
      <c r="C143" t="str">
        <f t="shared" si="6"/>
        <v>2026-03</v>
      </c>
      <c r="D143" t="s">
        <v>35</v>
      </c>
      <c r="E143" t="s">
        <v>36</v>
      </c>
      <c r="F143" t="s">
        <v>52</v>
      </c>
      <c r="G143" t="s">
        <v>57</v>
      </c>
      <c r="H143" t="s">
        <v>71</v>
      </c>
      <c r="I143" s="2">
        <v>95.2</v>
      </c>
      <c r="J143" s="2">
        <v>179.1</v>
      </c>
      <c r="K143" s="3">
        <f t="shared" si="7"/>
        <v>17.050319999999999</v>
      </c>
      <c r="L143" t="s">
        <v>55</v>
      </c>
      <c r="M143" s="4">
        <v>0.02</v>
      </c>
      <c r="N143" s="5">
        <f t="shared" si="8"/>
        <v>0</v>
      </c>
      <c r="O143" t="s">
        <v>22</v>
      </c>
    </row>
    <row r="144" spans="1:15" x14ac:dyDescent="0.3">
      <c r="A144" t="s">
        <v>218</v>
      </c>
      <c r="B144" s="1">
        <v>46090.697916666664</v>
      </c>
      <c r="C144" t="str">
        <f t="shared" si="6"/>
        <v>2026-03</v>
      </c>
      <c r="D144" t="s">
        <v>69</v>
      </c>
      <c r="E144" t="s">
        <v>36</v>
      </c>
      <c r="F144" t="s">
        <v>25</v>
      </c>
      <c r="G144" t="s">
        <v>102</v>
      </c>
      <c r="H144" t="s">
        <v>20</v>
      </c>
      <c r="I144" s="2">
        <v>107.7</v>
      </c>
      <c r="J144" s="2">
        <v>77.400000000000006</v>
      </c>
      <c r="K144" s="3">
        <f t="shared" si="7"/>
        <v>8.3359800000000011</v>
      </c>
      <c r="L144" t="s">
        <v>21</v>
      </c>
      <c r="M144" s="4">
        <v>0.02</v>
      </c>
      <c r="N144" s="5">
        <f t="shared" si="8"/>
        <v>166.71960000000001</v>
      </c>
      <c r="O144" t="s">
        <v>44</v>
      </c>
    </row>
    <row r="145" spans="1:15" x14ac:dyDescent="0.3">
      <c r="A145" t="s">
        <v>219</v>
      </c>
      <c r="B145" s="1">
        <v>46104.427083333336</v>
      </c>
      <c r="C145" t="str">
        <f t="shared" si="6"/>
        <v>2026-03</v>
      </c>
      <c r="D145" t="s">
        <v>73</v>
      </c>
      <c r="E145" t="s">
        <v>47</v>
      </c>
      <c r="F145" t="s">
        <v>25</v>
      </c>
      <c r="G145" t="s">
        <v>26</v>
      </c>
      <c r="H145" t="s">
        <v>81</v>
      </c>
      <c r="I145" s="2">
        <v>69.400000000000006</v>
      </c>
      <c r="J145" s="2">
        <v>114.7</v>
      </c>
      <c r="K145" s="3">
        <f t="shared" si="7"/>
        <v>7.9601800000000011</v>
      </c>
      <c r="L145" t="s">
        <v>55</v>
      </c>
      <c r="M145" s="4">
        <v>1.4999999999999999E-2</v>
      </c>
      <c r="N145" s="5">
        <f t="shared" si="8"/>
        <v>0</v>
      </c>
      <c r="O145" t="s">
        <v>79</v>
      </c>
    </row>
    <row r="146" spans="1:15" x14ac:dyDescent="0.3">
      <c r="A146" t="s">
        <v>220</v>
      </c>
      <c r="B146" s="1">
        <v>46101.760416666664</v>
      </c>
      <c r="C146" t="str">
        <f t="shared" si="6"/>
        <v>2026-03</v>
      </c>
      <c r="D146" t="s">
        <v>24</v>
      </c>
      <c r="E146" t="s">
        <v>17</v>
      </c>
      <c r="F146" t="s">
        <v>37</v>
      </c>
      <c r="G146" t="s">
        <v>76</v>
      </c>
      <c r="H146" t="s">
        <v>59</v>
      </c>
      <c r="I146" s="2">
        <v>67</v>
      </c>
      <c r="J146" s="2">
        <v>174</v>
      </c>
      <c r="K146" s="3">
        <f t="shared" si="7"/>
        <v>11.657999999999999</v>
      </c>
      <c r="L146" t="s">
        <v>21</v>
      </c>
      <c r="M146" s="4">
        <v>0.01</v>
      </c>
      <c r="N146" s="5">
        <f t="shared" si="8"/>
        <v>116.58</v>
      </c>
      <c r="O146" t="s">
        <v>44</v>
      </c>
    </row>
    <row r="147" spans="1:15" x14ac:dyDescent="0.3">
      <c r="A147" t="s">
        <v>221</v>
      </c>
      <c r="B147" s="1">
        <v>46092.385416666664</v>
      </c>
      <c r="C147" t="str">
        <f t="shared" si="6"/>
        <v>2026-03</v>
      </c>
      <c r="D147" t="s">
        <v>35</v>
      </c>
      <c r="E147" t="s">
        <v>41</v>
      </c>
      <c r="F147" t="s">
        <v>37</v>
      </c>
      <c r="G147" t="s">
        <v>38</v>
      </c>
      <c r="H147" t="s">
        <v>85</v>
      </c>
      <c r="I147" s="2">
        <v>164.8</v>
      </c>
      <c r="J147" s="2">
        <v>177.9</v>
      </c>
      <c r="K147" s="3">
        <f t="shared" si="7"/>
        <v>29.317920000000001</v>
      </c>
      <c r="L147" t="s">
        <v>78</v>
      </c>
      <c r="M147" s="4">
        <v>8.0000000000000002E-3</v>
      </c>
      <c r="N147" s="5">
        <f t="shared" si="8"/>
        <v>0</v>
      </c>
      <c r="O147" t="s">
        <v>44</v>
      </c>
    </row>
    <row r="148" spans="1:15" x14ac:dyDescent="0.3">
      <c r="A148" t="s">
        <v>222</v>
      </c>
      <c r="B148" s="1">
        <v>46086.385416666664</v>
      </c>
      <c r="C148" t="str">
        <f t="shared" si="6"/>
        <v>2026-03</v>
      </c>
      <c r="D148" t="s">
        <v>51</v>
      </c>
      <c r="E148" t="s">
        <v>47</v>
      </c>
      <c r="F148" t="s">
        <v>30</v>
      </c>
      <c r="G148" t="s">
        <v>42</v>
      </c>
      <c r="H148" t="s">
        <v>65</v>
      </c>
      <c r="I148" s="2">
        <v>225</v>
      </c>
      <c r="J148" s="2">
        <v>31.6</v>
      </c>
      <c r="K148" s="3">
        <f t="shared" si="7"/>
        <v>7.11</v>
      </c>
      <c r="L148" t="s">
        <v>21</v>
      </c>
      <c r="M148" s="4">
        <v>0.01</v>
      </c>
      <c r="N148" s="5">
        <f t="shared" si="8"/>
        <v>71.100000000000009</v>
      </c>
      <c r="O148" t="s">
        <v>22</v>
      </c>
    </row>
    <row r="149" spans="1:15" x14ac:dyDescent="0.3">
      <c r="A149" t="s">
        <v>223</v>
      </c>
      <c r="B149" s="1">
        <v>46085.604166666664</v>
      </c>
      <c r="C149" t="str">
        <f t="shared" si="6"/>
        <v>2026-03</v>
      </c>
      <c r="D149" t="s">
        <v>73</v>
      </c>
      <c r="E149" t="s">
        <v>47</v>
      </c>
      <c r="F149" t="s">
        <v>30</v>
      </c>
      <c r="G149" t="s">
        <v>139</v>
      </c>
      <c r="H149" t="s">
        <v>85</v>
      </c>
      <c r="I149" s="2">
        <v>222.2</v>
      </c>
      <c r="J149" s="2">
        <v>55.7</v>
      </c>
      <c r="K149" s="3">
        <f t="shared" si="7"/>
        <v>12.37654</v>
      </c>
      <c r="L149" t="s">
        <v>55</v>
      </c>
      <c r="M149" s="4">
        <v>8.0000000000000002E-3</v>
      </c>
      <c r="N149" s="5">
        <f t="shared" si="8"/>
        <v>0</v>
      </c>
      <c r="O149" t="s">
        <v>79</v>
      </c>
    </row>
    <row r="150" spans="1:15" x14ac:dyDescent="0.3">
      <c r="A150" t="s">
        <v>224</v>
      </c>
      <c r="B150" s="1">
        <v>46098.625</v>
      </c>
      <c r="C150" t="str">
        <f t="shared" si="6"/>
        <v>2026-03</v>
      </c>
      <c r="D150" t="s">
        <v>24</v>
      </c>
      <c r="E150" t="s">
        <v>36</v>
      </c>
      <c r="F150" t="s">
        <v>25</v>
      </c>
      <c r="G150" t="s">
        <v>64</v>
      </c>
      <c r="H150" t="s">
        <v>71</v>
      </c>
      <c r="I150" s="2">
        <v>117.7</v>
      </c>
      <c r="J150" s="2">
        <v>79.8</v>
      </c>
      <c r="K150" s="3">
        <f t="shared" si="7"/>
        <v>9.3924599999999998</v>
      </c>
      <c r="L150" t="s">
        <v>78</v>
      </c>
      <c r="M150" s="4">
        <v>1.4999999999999999E-2</v>
      </c>
      <c r="N150" s="5">
        <f t="shared" si="8"/>
        <v>0</v>
      </c>
      <c r="O150" t="s">
        <v>79</v>
      </c>
    </row>
    <row r="151" spans="1:15" x14ac:dyDescent="0.3">
      <c r="A151" t="s">
        <v>225</v>
      </c>
      <c r="B151" s="1">
        <v>46096.46875</v>
      </c>
      <c r="C151" t="str">
        <f t="shared" si="6"/>
        <v>2026-03</v>
      </c>
      <c r="D151" t="s">
        <v>107</v>
      </c>
      <c r="E151" t="s">
        <v>36</v>
      </c>
      <c r="F151" t="s">
        <v>37</v>
      </c>
      <c r="G151" t="s">
        <v>38</v>
      </c>
      <c r="H151" t="s">
        <v>65</v>
      </c>
      <c r="I151" s="2">
        <v>125.7</v>
      </c>
      <c r="J151" s="2">
        <v>139.19999999999999</v>
      </c>
      <c r="K151" s="3">
        <f t="shared" si="7"/>
        <v>17.497439999999997</v>
      </c>
      <c r="L151" t="s">
        <v>21</v>
      </c>
      <c r="M151" s="4">
        <v>8.0000000000000002E-3</v>
      </c>
      <c r="N151" s="5">
        <f t="shared" si="8"/>
        <v>139.97952000000001</v>
      </c>
      <c r="O151" t="s">
        <v>79</v>
      </c>
    </row>
    <row r="152" spans="1:15" x14ac:dyDescent="0.3">
      <c r="A152" t="s">
        <v>226</v>
      </c>
      <c r="B152" s="1">
        <v>46111.6875</v>
      </c>
      <c r="C152" t="str">
        <f t="shared" si="6"/>
        <v>2026-03</v>
      </c>
      <c r="D152" t="s">
        <v>69</v>
      </c>
      <c r="E152" t="s">
        <v>17</v>
      </c>
      <c r="F152" t="s">
        <v>52</v>
      </c>
      <c r="G152" t="s">
        <v>93</v>
      </c>
      <c r="H152" t="s">
        <v>20</v>
      </c>
      <c r="I152" s="2">
        <v>82.7</v>
      </c>
      <c r="J152" s="2">
        <v>117.5</v>
      </c>
      <c r="K152" s="3">
        <f t="shared" si="7"/>
        <v>9.7172499999999999</v>
      </c>
      <c r="L152" t="s">
        <v>78</v>
      </c>
      <c r="M152" s="4">
        <v>0.01</v>
      </c>
      <c r="N152" s="5">
        <f t="shared" si="8"/>
        <v>0</v>
      </c>
      <c r="O152" t="s">
        <v>33</v>
      </c>
    </row>
    <row r="153" spans="1:15" x14ac:dyDescent="0.3">
      <c r="A153" t="s">
        <v>227</v>
      </c>
      <c r="B153" s="1">
        <v>46098.5625</v>
      </c>
      <c r="C153" t="str">
        <f t="shared" si="6"/>
        <v>2026-03</v>
      </c>
      <c r="D153" t="s">
        <v>107</v>
      </c>
      <c r="E153" t="s">
        <v>36</v>
      </c>
      <c r="F153" t="s">
        <v>52</v>
      </c>
      <c r="G153" t="s">
        <v>109</v>
      </c>
      <c r="H153" t="s">
        <v>71</v>
      </c>
      <c r="I153" s="2">
        <v>110.3</v>
      </c>
      <c r="J153" s="2">
        <v>112.4</v>
      </c>
      <c r="K153" s="3">
        <f t="shared" si="7"/>
        <v>12.397720000000001</v>
      </c>
      <c r="L153" t="s">
        <v>55</v>
      </c>
      <c r="M153" s="4">
        <v>0.01</v>
      </c>
      <c r="N153" s="5">
        <f t="shared" si="8"/>
        <v>0</v>
      </c>
      <c r="O153" t="s">
        <v>44</v>
      </c>
    </row>
    <row r="154" spans="1:15" x14ac:dyDescent="0.3">
      <c r="A154" t="s">
        <v>228</v>
      </c>
      <c r="B154" s="1">
        <v>46083.770833333336</v>
      </c>
      <c r="C154" t="str">
        <f t="shared" si="6"/>
        <v>2026-03</v>
      </c>
      <c r="D154" t="s">
        <v>51</v>
      </c>
      <c r="E154" t="s">
        <v>36</v>
      </c>
      <c r="F154" t="s">
        <v>63</v>
      </c>
      <c r="G154" t="s">
        <v>64</v>
      </c>
      <c r="H154" t="s">
        <v>61</v>
      </c>
      <c r="I154" s="2">
        <v>153.1</v>
      </c>
      <c r="J154" s="2">
        <v>233.4</v>
      </c>
      <c r="K154" s="3">
        <f t="shared" si="7"/>
        <v>35.733539999999998</v>
      </c>
      <c r="L154" t="s">
        <v>55</v>
      </c>
      <c r="M154" s="4">
        <v>1.4999999999999999E-2</v>
      </c>
      <c r="N154" s="5">
        <f t="shared" si="8"/>
        <v>0</v>
      </c>
      <c r="O154" t="s">
        <v>22</v>
      </c>
    </row>
    <row r="155" spans="1:15" x14ac:dyDescent="0.3">
      <c r="A155" t="s">
        <v>229</v>
      </c>
      <c r="B155" s="1">
        <v>46103.416666666664</v>
      </c>
      <c r="C155" t="str">
        <f t="shared" si="6"/>
        <v>2026-03</v>
      </c>
      <c r="D155" t="s">
        <v>69</v>
      </c>
      <c r="E155" t="s">
        <v>29</v>
      </c>
      <c r="F155" t="s">
        <v>30</v>
      </c>
      <c r="G155" t="s">
        <v>133</v>
      </c>
      <c r="H155" t="s">
        <v>74</v>
      </c>
      <c r="I155" s="2">
        <v>139.30000000000001</v>
      </c>
      <c r="J155" s="2">
        <v>49.5</v>
      </c>
      <c r="K155" s="3">
        <f t="shared" si="7"/>
        <v>6.8953500000000005</v>
      </c>
      <c r="L155" t="s">
        <v>43</v>
      </c>
      <c r="M155" s="4">
        <v>8.0000000000000002E-3</v>
      </c>
      <c r="N155" s="5">
        <f t="shared" si="8"/>
        <v>0</v>
      </c>
      <c r="O155" t="s">
        <v>39</v>
      </c>
    </row>
    <row r="156" spans="1:15" x14ac:dyDescent="0.3">
      <c r="A156" t="s">
        <v>230</v>
      </c>
      <c r="B156" s="1">
        <v>46107.697916666664</v>
      </c>
      <c r="C156" t="str">
        <f t="shared" si="6"/>
        <v>2026-03</v>
      </c>
      <c r="D156" t="s">
        <v>16</v>
      </c>
      <c r="E156" t="s">
        <v>17</v>
      </c>
      <c r="F156" t="s">
        <v>63</v>
      </c>
      <c r="G156" t="s">
        <v>88</v>
      </c>
      <c r="H156" t="s">
        <v>61</v>
      </c>
      <c r="I156" s="2">
        <v>146</v>
      </c>
      <c r="J156" s="2">
        <v>121.5</v>
      </c>
      <c r="K156" s="3">
        <f t="shared" si="7"/>
        <v>17.739000000000001</v>
      </c>
      <c r="L156" t="s">
        <v>43</v>
      </c>
      <c r="M156" s="4">
        <v>8.0000000000000002E-3</v>
      </c>
      <c r="N156" s="5">
        <f t="shared" si="8"/>
        <v>0</v>
      </c>
      <c r="O156" t="s">
        <v>39</v>
      </c>
    </row>
    <row r="157" spans="1:15" x14ac:dyDescent="0.3">
      <c r="A157" t="s">
        <v>231</v>
      </c>
      <c r="B157" s="1">
        <v>46092.333333333336</v>
      </c>
      <c r="C157" t="str">
        <f t="shared" si="6"/>
        <v>2026-03</v>
      </c>
      <c r="D157" t="s">
        <v>51</v>
      </c>
      <c r="E157" t="s">
        <v>41</v>
      </c>
      <c r="F157" t="s">
        <v>63</v>
      </c>
      <c r="G157" t="s">
        <v>122</v>
      </c>
      <c r="H157" t="s">
        <v>59</v>
      </c>
      <c r="I157" s="2">
        <v>184</v>
      </c>
      <c r="J157" s="2">
        <v>149.6</v>
      </c>
      <c r="K157" s="3">
        <f t="shared" si="7"/>
        <v>27.526399999999999</v>
      </c>
      <c r="L157" t="s">
        <v>78</v>
      </c>
      <c r="M157" s="4">
        <v>0.01</v>
      </c>
      <c r="N157" s="5">
        <f t="shared" si="8"/>
        <v>0</v>
      </c>
      <c r="O157" t="s">
        <v>33</v>
      </c>
    </row>
    <row r="158" spans="1:15" x14ac:dyDescent="0.3">
      <c r="A158" t="s">
        <v>232</v>
      </c>
      <c r="B158" s="1">
        <v>46092.4375</v>
      </c>
      <c r="C158" t="str">
        <f t="shared" si="6"/>
        <v>2026-03</v>
      </c>
      <c r="D158" t="s">
        <v>107</v>
      </c>
      <c r="E158" t="s">
        <v>17</v>
      </c>
      <c r="F158" t="s">
        <v>37</v>
      </c>
      <c r="G158" t="s">
        <v>76</v>
      </c>
      <c r="H158" t="s">
        <v>85</v>
      </c>
      <c r="I158" s="2">
        <v>175.6</v>
      </c>
      <c r="J158" s="2">
        <v>131.9</v>
      </c>
      <c r="K158" s="3">
        <f t="shared" si="7"/>
        <v>23.161639999999998</v>
      </c>
      <c r="L158" t="s">
        <v>21</v>
      </c>
      <c r="M158" s="4">
        <v>0.01</v>
      </c>
      <c r="N158" s="5">
        <f t="shared" si="8"/>
        <v>231.6164</v>
      </c>
      <c r="O158" t="s">
        <v>79</v>
      </c>
    </row>
    <row r="159" spans="1:15" x14ac:dyDescent="0.3">
      <c r="A159" t="s">
        <v>233</v>
      </c>
      <c r="B159" s="1">
        <v>46108.770833333336</v>
      </c>
      <c r="C159" t="str">
        <f t="shared" si="6"/>
        <v>2026-03</v>
      </c>
      <c r="D159" t="s">
        <v>16</v>
      </c>
      <c r="E159" t="s">
        <v>47</v>
      </c>
      <c r="F159" t="s">
        <v>37</v>
      </c>
      <c r="G159" t="s">
        <v>38</v>
      </c>
      <c r="H159" t="s">
        <v>71</v>
      </c>
      <c r="I159" s="2">
        <v>84.2</v>
      </c>
      <c r="J159" s="2">
        <v>177.4</v>
      </c>
      <c r="K159" s="3">
        <f t="shared" si="7"/>
        <v>14.937080000000002</v>
      </c>
      <c r="L159" t="s">
        <v>21</v>
      </c>
      <c r="M159" s="4">
        <v>0.01</v>
      </c>
      <c r="N159" s="5">
        <f t="shared" si="8"/>
        <v>149.37080000000003</v>
      </c>
      <c r="O159" t="s">
        <v>39</v>
      </c>
    </row>
    <row r="160" spans="1:15" x14ac:dyDescent="0.3">
      <c r="A160" t="s">
        <v>234</v>
      </c>
      <c r="B160" s="1">
        <v>46088.666666666664</v>
      </c>
      <c r="C160" t="str">
        <f t="shared" si="6"/>
        <v>2026-03</v>
      </c>
      <c r="D160" t="s">
        <v>69</v>
      </c>
      <c r="E160" t="s">
        <v>29</v>
      </c>
      <c r="F160" t="s">
        <v>25</v>
      </c>
      <c r="G160" t="s">
        <v>102</v>
      </c>
      <c r="H160" t="s">
        <v>61</v>
      </c>
      <c r="I160" s="2">
        <v>128.30000000000001</v>
      </c>
      <c r="J160" s="2">
        <v>87.6</v>
      </c>
      <c r="K160" s="3">
        <f t="shared" si="7"/>
        <v>11.23908</v>
      </c>
      <c r="L160" t="s">
        <v>78</v>
      </c>
      <c r="M160" s="4">
        <v>1.4999999999999999E-2</v>
      </c>
      <c r="N160" s="5">
        <f t="shared" si="8"/>
        <v>0</v>
      </c>
      <c r="O160" t="s">
        <v>22</v>
      </c>
    </row>
    <row r="161" spans="1:15" x14ac:dyDescent="0.3">
      <c r="A161" t="s">
        <v>235</v>
      </c>
      <c r="B161" s="1">
        <v>46088.6875</v>
      </c>
      <c r="C161" t="str">
        <f t="shared" si="6"/>
        <v>2026-03</v>
      </c>
      <c r="D161" t="s">
        <v>24</v>
      </c>
      <c r="E161" t="s">
        <v>29</v>
      </c>
      <c r="F161" t="s">
        <v>63</v>
      </c>
      <c r="G161" t="s">
        <v>122</v>
      </c>
      <c r="H161" t="s">
        <v>65</v>
      </c>
      <c r="I161" s="2">
        <v>77.8</v>
      </c>
      <c r="J161" s="2">
        <v>195.3</v>
      </c>
      <c r="K161" s="3">
        <f t="shared" si="7"/>
        <v>15.19434</v>
      </c>
      <c r="L161" t="s">
        <v>43</v>
      </c>
      <c r="M161" s="4">
        <v>1.4999999999999999E-2</v>
      </c>
      <c r="N161" s="5">
        <f t="shared" si="8"/>
        <v>0</v>
      </c>
      <c r="O161" t="s">
        <v>33</v>
      </c>
    </row>
    <row r="162" spans="1:15" x14ac:dyDescent="0.3">
      <c r="A162" t="s">
        <v>236</v>
      </c>
      <c r="B162" s="1">
        <v>46112.739583333336</v>
      </c>
      <c r="C162" t="str">
        <f t="shared" si="6"/>
        <v>2026-03</v>
      </c>
      <c r="D162" t="s">
        <v>35</v>
      </c>
      <c r="E162" t="s">
        <v>47</v>
      </c>
      <c r="F162" t="s">
        <v>52</v>
      </c>
      <c r="G162" t="s">
        <v>53</v>
      </c>
      <c r="H162" t="s">
        <v>74</v>
      </c>
      <c r="I162" s="2">
        <v>124</v>
      </c>
      <c r="J162" s="2">
        <v>132.6</v>
      </c>
      <c r="K162" s="3">
        <f t="shared" si="7"/>
        <v>16.442399999999999</v>
      </c>
      <c r="L162" t="s">
        <v>21</v>
      </c>
      <c r="M162" s="4">
        <v>0.02</v>
      </c>
      <c r="N162" s="5">
        <f t="shared" si="8"/>
        <v>328.84799999999996</v>
      </c>
      <c r="O162" t="s">
        <v>33</v>
      </c>
    </row>
    <row r="163" spans="1:15" x14ac:dyDescent="0.3">
      <c r="A163" t="s">
        <v>237</v>
      </c>
      <c r="B163" s="1">
        <v>46098.541666666664</v>
      </c>
      <c r="C163" t="str">
        <f t="shared" si="6"/>
        <v>2026-03</v>
      </c>
      <c r="D163" t="s">
        <v>46</v>
      </c>
      <c r="E163" t="s">
        <v>29</v>
      </c>
      <c r="F163" t="s">
        <v>37</v>
      </c>
      <c r="G163" t="s">
        <v>38</v>
      </c>
      <c r="H163" t="s">
        <v>20</v>
      </c>
      <c r="I163" s="2">
        <v>135.1</v>
      </c>
      <c r="J163" s="2">
        <v>129.69999999999999</v>
      </c>
      <c r="K163" s="3">
        <f t="shared" si="7"/>
        <v>17.522469999999998</v>
      </c>
      <c r="L163" t="s">
        <v>21</v>
      </c>
      <c r="M163" s="4">
        <v>0.01</v>
      </c>
      <c r="N163" s="5">
        <f t="shared" si="8"/>
        <v>175.22469999999998</v>
      </c>
      <c r="O163" t="s">
        <v>79</v>
      </c>
    </row>
    <row r="164" spans="1:15" x14ac:dyDescent="0.3">
      <c r="A164" t="s">
        <v>238</v>
      </c>
      <c r="B164" s="1">
        <v>46085.385416666664</v>
      </c>
      <c r="C164" t="str">
        <f t="shared" si="6"/>
        <v>2026-03</v>
      </c>
      <c r="D164" t="s">
        <v>46</v>
      </c>
      <c r="E164" t="s">
        <v>36</v>
      </c>
      <c r="F164" t="s">
        <v>37</v>
      </c>
      <c r="G164" t="s">
        <v>70</v>
      </c>
      <c r="H164" t="s">
        <v>54</v>
      </c>
      <c r="I164" s="2">
        <v>74.5</v>
      </c>
      <c r="J164" s="2">
        <v>75.900000000000006</v>
      </c>
      <c r="K164" s="3">
        <f t="shared" si="7"/>
        <v>5.6545500000000004</v>
      </c>
      <c r="L164" t="s">
        <v>21</v>
      </c>
      <c r="M164" s="4">
        <v>0.02</v>
      </c>
      <c r="N164" s="5">
        <f t="shared" si="8"/>
        <v>113.09100000000001</v>
      </c>
      <c r="O164" t="s">
        <v>79</v>
      </c>
    </row>
    <row r="165" spans="1:15" x14ac:dyDescent="0.3">
      <c r="A165" t="s">
        <v>239</v>
      </c>
      <c r="B165" s="1">
        <v>46087.489583333336</v>
      </c>
      <c r="C165" t="str">
        <f t="shared" si="6"/>
        <v>2026-03</v>
      </c>
      <c r="D165" t="s">
        <v>46</v>
      </c>
      <c r="E165" t="s">
        <v>29</v>
      </c>
      <c r="F165" t="s">
        <v>25</v>
      </c>
      <c r="G165" t="s">
        <v>26</v>
      </c>
      <c r="H165" t="s">
        <v>71</v>
      </c>
      <c r="I165" s="2">
        <v>65.400000000000006</v>
      </c>
      <c r="J165" s="2">
        <v>58.7</v>
      </c>
      <c r="K165" s="3">
        <f t="shared" si="7"/>
        <v>3.8389800000000003</v>
      </c>
      <c r="L165" t="s">
        <v>21</v>
      </c>
      <c r="M165" s="4">
        <v>0.02</v>
      </c>
      <c r="N165" s="5">
        <f t="shared" si="8"/>
        <v>76.779600000000002</v>
      </c>
      <c r="O165" t="s">
        <v>33</v>
      </c>
    </row>
    <row r="166" spans="1:15" x14ac:dyDescent="0.3">
      <c r="A166" t="s">
        <v>240</v>
      </c>
      <c r="B166" s="1">
        <v>46082.604166666664</v>
      </c>
      <c r="C166" t="str">
        <f t="shared" si="6"/>
        <v>2026-03</v>
      </c>
      <c r="D166" t="s">
        <v>69</v>
      </c>
      <c r="E166" t="s">
        <v>17</v>
      </c>
      <c r="F166" t="s">
        <v>30</v>
      </c>
      <c r="G166" t="s">
        <v>31</v>
      </c>
      <c r="H166" t="s">
        <v>61</v>
      </c>
      <c r="I166" s="2">
        <v>210.3</v>
      </c>
      <c r="J166" s="2">
        <v>38.1</v>
      </c>
      <c r="K166" s="3">
        <f t="shared" si="7"/>
        <v>8.0124300000000002</v>
      </c>
      <c r="L166" t="s">
        <v>21</v>
      </c>
      <c r="M166" s="4">
        <v>1.4999999999999999E-2</v>
      </c>
      <c r="N166" s="5">
        <f t="shared" si="8"/>
        <v>120.18644999999999</v>
      </c>
      <c r="O166" t="s">
        <v>44</v>
      </c>
    </row>
    <row r="167" spans="1:15" x14ac:dyDescent="0.3">
      <c r="A167" t="s">
        <v>241</v>
      </c>
      <c r="B167" s="1">
        <v>46082.625</v>
      </c>
      <c r="C167" t="str">
        <f t="shared" si="6"/>
        <v>2026-03</v>
      </c>
      <c r="D167" t="s">
        <v>107</v>
      </c>
      <c r="E167" t="s">
        <v>17</v>
      </c>
      <c r="F167" t="s">
        <v>30</v>
      </c>
      <c r="G167" t="s">
        <v>133</v>
      </c>
      <c r="H167" t="s">
        <v>27</v>
      </c>
      <c r="I167" s="2">
        <v>152.6</v>
      </c>
      <c r="J167" s="2">
        <v>36.4</v>
      </c>
      <c r="K167" s="3">
        <f t="shared" si="7"/>
        <v>5.5546399999999991</v>
      </c>
      <c r="L167" t="s">
        <v>78</v>
      </c>
      <c r="M167" s="4">
        <v>1.2E-2</v>
      </c>
      <c r="N167" s="5">
        <f t="shared" si="8"/>
        <v>0</v>
      </c>
      <c r="O167" t="s">
        <v>33</v>
      </c>
    </row>
    <row r="168" spans="1:15" x14ac:dyDescent="0.3">
      <c r="A168" t="s">
        <v>242</v>
      </c>
      <c r="B168" s="1">
        <v>46106.71875</v>
      </c>
      <c r="C168" t="str">
        <f t="shared" si="6"/>
        <v>2026-03</v>
      </c>
      <c r="D168" t="s">
        <v>69</v>
      </c>
      <c r="E168" t="s">
        <v>41</v>
      </c>
      <c r="F168" t="s">
        <v>25</v>
      </c>
      <c r="G168" t="s">
        <v>102</v>
      </c>
      <c r="H168" t="s">
        <v>20</v>
      </c>
      <c r="I168" s="2">
        <v>66.599999999999994</v>
      </c>
      <c r="J168" s="2">
        <v>51.6</v>
      </c>
      <c r="K168" s="3">
        <f t="shared" si="7"/>
        <v>3.4365600000000001</v>
      </c>
      <c r="L168" t="s">
        <v>21</v>
      </c>
      <c r="M168" s="4">
        <v>1.4999999999999999E-2</v>
      </c>
      <c r="N168" s="5">
        <f t="shared" si="8"/>
        <v>51.548400000000001</v>
      </c>
      <c r="O168" t="s">
        <v>79</v>
      </c>
    </row>
    <row r="169" spans="1:15" x14ac:dyDescent="0.3">
      <c r="A169" t="s">
        <v>243</v>
      </c>
      <c r="B169" s="1">
        <v>46091.4375</v>
      </c>
      <c r="C169" t="str">
        <f t="shared" si="6"/>
        <v>2026-03</v>
      </c>
      <c r="D169" t="s">
        <v>51</v>
      </c>
      <c r="E169" t="s">
        <v>41</v>
      </c>
      <c r="F169" t="s">
        <v>52</v>
      </c>
      <c r="G169" t="s">
        <v>109</v>
      </c>
      <c r="H169" t="s">
        <v>54</v>
      </c>
      <c r="I169" s="2">
        <v>81.2</v>
      </c>
      <c r="J169" s="2">
        <v>138.80000000000001</v>
      </c>
      <c r="K169" s="3">
        <f t="shared" si="7"/>
        <v>11.270560000000001</v>
      </c>
      <c r="L169" t="s">
        <v>78</v>
      </c>
      <c r="M169" s="4">
        <v>0.01</v>
      </c>
      <c r="N169" s="5">
        <f t="shared" si="8"/>
        <v>0</v>
      </c>
      <c r="O169" t="s">
        <v>44</v>
      </c>
    </row>
    <row r="170" spans="1:15" x14ac:dyDescent="0.3">
      <c r="A170" t="s">
        <v>244</v>
      </c>
      <c r="B170" s="1">
        <v>46103.614583333336</v>
      </c>
      <c r="C170" t="str">
        <f t="shared" si="6"/>
        <v>2026-03</v>
      </c>
      <c r="D170" t="s">
        <v>51</v>
      </c>
      <c r="E170" t="s">
        <v>17</v>
      </c>
      <c r="F170" t="s">
        <v>25</v>
      </c>
      <c r="G170" t="s">
        <v>64</v>
      </c>
      <c r="H170" t="s">
        <v>85</v>
      </c>
      <c r="I170" s="2">
        <v>80.400000000000006</v>
      </c>
      <c r="J170" s="2">
        <v>64.099999999999994</v>
      </c>
      <c r="K170" s="3">
        <f t="shared" si="7"/>
        <v>5.1536400000000002</v>
      </c>
      <c r="L170" t="s">
        <v>43</v>
      </c>
      <c r="M170" s="4">
        <v>0.01</v>
      </c>
      <c r="N170" s="5">
        <f t="shared" si="8"/>
        <v>0</v>
      </c>
      <c r="O170" t="s">
        <v>79</v>
      </c>
    </row>
    <row r="171" spans="1:15" x14ac:dyDescent="0.3">
      <c r="A171" t="s">
        <v>245</v>
      </c>
      <c r="B171" s="1">
        <v>46091.541666666664</v>
      </c>
      <c r="C171" t="str">
        <f t="shared" si="6"/>
        <v>2026-03</v>
      </c>
      <c r="D171" t="s">
        <v>73</v>
      </c>
      <c r="E171" t="s">
        <v>36</v>
      </c>
      <c r="F171" t="s">
        <v>25</v>
      </c>
      <c r="G171" t="s">
        <v>67</v>
      </c>
      <c r="H171" t="s">
        <v>54</v>
      </c>
      <c r="I171" s="2">
        <v>97.2</v>
      </c>
      <c r="J171" s="2">
        <v>50.7</v>
      </c>
      <c r="K171" s="3">
        <f t="shared" si="7"/>
        <v>4.9280400000000011</v>
      </c>
      <c r="L171" t="s">
        <v>21</v>
      </c>
      <c r="M171" s="4">
        <v>0.01</v>
      </c>
      <c r="N171" s="5">
        <f t="shared" si="8"/>
        <v>49.280400000000007</v>
      </c>
      <c r="O171" t="s">
        <v>33</v>
      </c>
    </row>
    <row r="172" spans="1:15" x14ac:dyDescent="0.3">
      <c r="A172" t="s">
        <v>246</v>
      </c>
      <c r="B172" s="1">
        <v>46104.333333333336</v>
      </c>
      <c r="C172" t="str">
        <f t="shared" si="6"/>
        <v>2026-03</v>
      </c>
      <c r="D172" t="s">
        <v>35</v>
      </c>
      <c r="E172" t="s">
        <v>36</v>
      </c>
      <c r="F172" t="s">
        <v>30</v>
      </c>
      <c r="G172" t="s">
        <v>42</v>
      </c>
      <c r="H172" t="s">
        <v>59</v>
      </c>
      <c r="I172" s="2">
        <v>210.2</v>
      </c>
      <c r="J172" s="2">
        <v>19.8</v>
      </c>
      <c r="K172" s="3">
        <f t="shared" si="7"/>
        <v>4.1619599999999997</v>
      </c>
      <c r="L172" t="s">
        <v>43</v>
      </c>
      <c r="M172" s="4">
        <v>0.02</v>
      </c>
      <c r="N172" s="5">
        <f t="shared" si="8"/>
        <v>0</v>
      </c>
      <c r="O172" t="s">
        <v>22</v>
      </c>
    </row>
    <row r="173" spans="1:15" x14ac:dyDescent="0.3">
      <c r="A173" t="s">
        <v>247</v>
      </c>
      <c r="B173" s="1">
        <v>46111.333333333336</v>
      </c>
      <c r="C173" t="str">
        <f t="shared" si="6"/>
        <v>2026-03</v>
      </c>
      <c r="D173" t="s">
        <v>51</v>
      </c>
      <c r="E173" t="s">
        <v>36</v>
      </c>
      <c r="F173" t="s">
        <v>52</v>
      </c>
      <c r="G173" t="s">
        <v>109</v>
      </c>
      <c r="H173" t="s">
        <v>81</v>
      </c>
      <c r="I173" s="2">
        <v>56.6</v>
      </c>
      <c r="J173" s="2">
        <v>92.8</v>
      </c>
      <c r="K173" s="3">
        <f t="shared" si="7"/>
        <v>5.2524799999999994</v>
      </c>
      <c r="L173" t="s">
        <v>43</v>
      </c>
      <c r="M173" s="4">
        <v>0.01</v>
      </c>
      <c r="N173" s="5">
        <f t="shared" si="8"/>
        <v>0</v>
      </c>
      <c r="O173" t="s">
        <v>39</v>
      </c>
    </row>
    <row r="174" spans="1:15" x14ac:dyDescent="0.3">
      <c r="A174" t="s">
        <v>248</v>
      </c>
      <c r="B174" s="1">
        <v>46099.53125</v>
      </c>
      <c r="C174" t="str">
        <f t="shared" si="6"/>
        <v>2026-03</v>
      </c>
      <c r="D174" t="s">
        <v>73</v>
      </c>
      <c r="E174" t="s">
        <v>29</v>
      </c>
      <c r="F174" t="s">
        <v>30</v>
      </c>
      <c r="G174" t="s">
        <v>31</v>
      </c>
      <c r="H174" t="s">
        <v>32</v>
      </c>
      <c r="I174" s="2">
        <v>131.19999999999999</v>
      </c>
      <c r="J174" s="2">
        <v>57.2</v>
      </c>
      <c r="K174" s="3">
        <f t="shared" si="7"/>
        <v>7.5046399999999993</v>
      </c>
      <c r="L174" t="s">
        <v>55</v>
      </c>
      <c r="M174" s="4">
        <v>8.0000000000000002E-3</v>
      </c>
      <c r="N174" s="5">
        <f t="shared" si="8"/>
        <v>0</v>
      </c>
      <c r="O174" t="s">
        <v>33</v>
      </c>
    </row>
    <row r="175" spans="1:15" x14ac:dyDescent="0.3">
      <c r="A175" t="s">
        <v>249</v>
      </c>
      <c r="B175" s="1">
        <v>46112.416666666664</v>
      </c>
      <c r="C175" t="str">
        <f t="shared" si="6"/>
        <v>2026-03</v>
      </c>
      <c r="D175" t="s">
        <v>16</v>
      </c>
      <c r="E175" t="s">
        <v>17</v>
      </c>
      <c r="F175" t="s">
        <v>30</v>
      </c>
      <c r="G175" t="s">
        <v>133</v>
      </c>
      <c r="H175" t="s">
        <v>71</v>
      </c>
      <c r="I175" s="2">
        <v>154.30000000000001</v>
      </c>
      <c r="J175" s="2">
        <v>22.5</v>
      </c>
      <c r="K175" s="3">
        <f t="shared" si="7"/>
        <v>3.4717500000000006</v>
      </c>
      <c r="L175" t="s">
        <v>43</v>
      </c>
      <c r="M175" s="4">
        <v>1.4999999999999999E-2</v>
      </c>
      <c r="N175" s="5">
        <f t="shared" si="8"/>
        <v>0</v>
      </c>
      <c r="O175" t="s">
        <v>22</v>
      </c>
    </row>
    <row r="176" spans="1:15" x14ac:dyDescent="0.3">
      <c r="A176" t="s">
        <v>250</v>
      </c>
      <c r="B176" s="1">
        <v>46104.427083333336</v>
      </c>
      <c r="C176" t="str">
        <f t="shared" si="6"/>
        <v>2026-03</v>
      </c>
      <c r="D176" t="s">
        <v>69</v>
      </c>
      <c r="E176" t="s">
        <v>17</v>
      </c>
      <c r="F176" t="s">
        <v>18</v>
      </c>
      <c r="G176" t="s">
        <v>19</v>
      </c>
      <c r="H176" t="s">
        <v>20</v>
      </c>
      <c r="I176" s="2">
        <v>498.1</v>
      </c>
      <c r="J176" s="2">
        <v>136.80000000000001</v>
      </c>
      <c r="K176" s="3">
        <f t="shared" si="7"/>
        <v>68.140079999999998</v>
      </c>
      <c r="L176" t="s">
        <v>21</v>
      </c>
      <c r="M176" s="4">
        <v>0.02</v>
      </c>
      <c r="N176" s="5">
        <f t="shared" si="8"/>
        <v>1362.8016</v>
      </c>
      <c r="O176" t="s">
        <v>22</v>
      </c>
    </row>
    <row r="177" spans="1:15" x14ac:dyDescent="0.3">
      <c r="A177" t="s">
        <v>251</v>
      </c>
      <c r="B177" s="1">
        <v>46094.71875</v>
      </c>
      <c r="C177" t="str">
        <f t="shared" si="6"/>
        <v>2026-03</v>
      </c>
      <c r="D177" t="s">
        <v>51</v>
      </c>
      <c r="E177" t="s">
        <v>29</v>
      </c>
      <c r="F177" t="s">
        <v>37</v>
      </c>
      <c r="G177" t="s">
        <v>156</v>
      </c>
      <c r="H177" t="s">
        <v>20</v>
      </c>
      <c r="I177" s="2">
        <v>65.099999999999994</v>
      </c>
      <c r="J177" s="2">
        <v>187.2</v>
      </c>
      <c r="K177" s="3">
        <f t="shared" si="7"/>
        <v>12.186719999999998</v>
      </c>
      <c r="L177" t="s">
        <v>43</v>
      </c>
      <c r="M177" s="4">
        <v>1.2E-2</v>
      </c>
      <c r="N177" s="5">
        <f t="shared" si="8"/>
        <v>0</v>
      </c>
      <c r="O177" t="s">
        <v>79</v>
      </c>
    </row>
    <row r="178" spans="1:15" x14ac:dyDescent="0.3">
      <c r="A178" t="s">
        <v>252</v>
      </c>
      <c r="B178" s="1">
        <v>46091.604166666664</v>
      </c>
      <c r="C178" t="str">
        <f t="shared" si="6"/>
        <v>2026-03</v>
      </c>
      <c r="D178" t="s">
        <v>46</v>
      </c>
      <c r="E178" t="s">
        <v>36</v>
      </c>
      <c r="F178" t="s">
        <v>37</v>
      </c>
      <c r="G178" t="s">
        <v>76</v>
      </c>
      <c r="H178" t="s">
        <v>49</v>
      </c>
      <c r="I178" s="2">
        <v>116.6</v>
      </c>
      <c r="J178" s="2">
        <v>159.9</v>
      </c>
      <c r="K178" s="3">
        <f t="shared" si="7"/>
        <v>18.64434</v>
      </c>
      <c r="L178" t="s">
        <v>78</v>
      </c>
      <c r="M178" s="4">
        <v>0.01</v>
      </c>
      <c r="N178" s="5">
        <f t="shared" si="8"/>
        <v>0</v>
      </c>
      <c r="O178" t="s">
        <v>33</v>
      </c>
    </row>
    <row r="179" spans="1:15" x14ac:dyDescent="0.3">
      <c r="A179" t="s">
        <v>253</v>
      </c>
      <c r="B179" s="1">
        <v>46086.510416666664</v>
      </c>
      <c r="C179" t="str">
        <f t="shared" si="6"/>
        <v>2026-03</v>
      </c>
      <c r="D179" t="s">
        <v>46</v>
      </c>
      <c r="E179" t="s">
        <v>41</v>
      </c>
      <c r="F179" t="s">
        <v>37</v>
      </c>
      <c r="G179" t="s">
        <v>38</v>
      </c>
      <c r="H179" t="s">
        <v>74</v>
      </c>
      <c r="I179" s="2">
        <v>74.5</v>
      </c>
      <c r="J179" s="2">
        <v>209.7</v>
      </c>
      <c r="K179" s="3">
        <f t="shared" si="7"/>
        <v>15.62265</v>
      </c>
      <c r="L179" t="s">
        <v>21</v>
      </c>
      <c r="M179" s="4">
        <v>0.02</v>
      </c>
      <c r="N179" s="5">
        <f t="shared" si="8"/>
        <v>312.45300000000003</v>
      </c>
      <c r="O179" t="s">
        <v>79</v>
      </c>
    </row>
    <row r="180" spans="1:15" x14ac:dyDescent="0.3">
      <c r="A180" t="s">
        <v>254</v>
      </c>
      <c r="B180" s="1">
        <v>46101.739583333336</v>
      </c>
      <c r="C180" t="str">
        <f t="shared" si="6"/>
        <v>2026-03</v>
      </c>
      <c r="D180" t="s">
        <v>46</v>
      </c>
      <c r="E180" t="s">
        <v>29</v>
      </c>
      <c r="F180" t="s">
        <v>63</v>
      </c>
      <c r="G180" t="s">
        <v>88</v>
      </c>
      <c r="H180" t="s">
        <v>32</v>
      </c>
      <c r="I180" s="2">
        <v>105.3</v>
      </c>
      <c r="J180" s="2">
        <v>276.60000000000002</v>
      </c>
      <c r="K180" s="3">
        <f t="shared" si="7"/>
        <v>29.125980000000002</v>
      </c>
      <c r="L180" t="s">
        <v>21</v>
      </c>
      <c r="M180" s="4">
        <v>1.2E-2</v>
      </c>
      <c r="N180" s="5">
        <f t="shared" si="8"/>
        <v>349.51175999999998</v>
      </c>
      <c r="O180" t="s">
        <v>39</v>
      </c>
    </row>
    <row r="181" spans="1:15" x14ac:dyDescent="0.3">
      <c r="A181" t="s">
        <v>255</v>
      </c>
      <c r="B181" s="1">
        <v>46083.53125</v>
      </c>
      <c r="C181" t="str">
        <f t="shared" si="6"/>
        <v>2026-03</v>
      </c>
      <c r="D181" t="s">
        <v>69</v>
      </c>
      <c r="E181" t="s">
        <v>47</v>
      </c>
      <c r="F181" t="s">
        <v>52</v>
      </c>
      <c r="G181" t="s">
        <v>109</v>
      </c>
      <c r="H181" t="s">
        <v>49</v>
      </c>
      <c r="I181" s="2">
        <v>165.4</v>
      </c>
      <c r="J181" s="2">
        <v>65</v>
      </c>
      <c r="K181" s="3">
        <f t="shared" si="7"/>
        <v>10.750999999999999</v>
      </c>
      <c r="L181" t="s">
        <v>21</v>
      </c>
      <c r="M181" s="4">
        <v>1.4999999999999999E-2</v>
      </c>
      <c r="N181" s="5">
        <f t="shared" si="8"/>
        <v>161.26499999999999</v>
      </c>
      <c r="O181" t="s">
        <v>33</v>
      </c>
    </row>
    <row r="182" spans="1:15" x14ac:dyDescent="0.3">
      <c r="A182" t="s">
        <v>256</v>
      </c>
      <c r="B182" s="1">
        <v>46121.635416666664</v>
      </c>
      <c r="C182" t="str">
        <f t="shared" si="6"/>
        <v>2026-04</v>
      </c>
      <c r="D182" t="s">
        <v>46</v>
      </c>
      <c r="E182" t="s">
        <v>17</v>
      </c>
      <c r="F182" t="s">
        <v>52</v>
      </c>
      <c r="G182" t="s">
        <v>57</v>
      </c>
      <c r="H182" t="s">
        <v>81</v>
      </c>
      <c r="I182" s="2">
        <v>67.400000000000006</v>
      </c>
      <c r="J182" s="2">
        <v>169</v>
      </c>
      <c r="K182" s="3">
        <f t="shared" si="7"/>
        <v>11.390600000000001</v>
      </c>
      <c r="L182" t="s">
        <v>21</v>
      </c>
      <c r="M182" s="4">
        <v>1.2E-2</v>
      </c>
      <c r="N182" s="5">
        <f t="shared" si="8"/>
        <v>136.68720000000002</v>
      </c>
      <c r="O182" t="s">
        <v>39</v>
      </c>
    </row>
    <row r="183" spans="1:15" x14ac:dyDescent="0.3">
      <c r="A183" t="s">
        <v>257</v>
      </c>
      <c r="B183" s="1">
        <v>46140.614583333336</v>
      </c>
      <c r="C183" t="str">
        <f t="shared" si="6"/>
        <v>2026-04</v>
      </c>
      <c r="D183" t="s">
        <v>24</v>
      </c>
      <c r="E183" t="s">
        <v>36</v>
      </c>
      <c r="F183" t="s">
        <v>52</v>
      </c>
      <c r="G183" t="s">
        <v>93</v>
      </c>
      <c r="H183" t="s">
        <v>54</v>
      </c>
      <c r="I183" s="2">
        <v>129.5</v>
      </c>
      <c r="J183" s="2">
        <v>65.599999999999994</v>
      </c>
      <c r="K183" s="3">
        <f t="shared" si="7"/>
        <v>8.4951999999999988</v>
      </c>
      <c r="L183" t="s">
        <v>21</v>
      </c>
      <c r="M183" s="4">
        <v>1.2E-2</v>
      </c>
      <c r="N183" s="5">
        <f t="shared" si="8"/>
        <v>101.94239999999999</v>
      </c>
      <c r="O183" t="s">
        <v>22</v>
      </c>
    </row>
    <row r="184" spans="1:15" x14ac:dyDescent="0.3">
      <c r="A184" t="s">
        <v>258</v>
      </c>
      <c r="B184" s="1">
        <v>46113.572916666664</v>
      </c>
      <c r="C184" t="str">
        <f t="shared" si="6"/>
        <v>2026-04</v>
      </c>
      <c r="D184" t="s">
        <v>16</v>
      </c>
      <c r="E184" t="s">
        <v>17</v>
      </c>
      <c r="F184" t="s">
        <v>63</v>
      </c>
      <c r="G184" t="s">
        <v>122</v>
      </c>
      <c r="H184" t="s">
        <v>61</v>
      </c>
      <c r="I184" s="2">
        <v>179.9</v>
      </c>
      <c r="J184" s="2">
        <v>102.8</v>
      </c>
      <c r="K184" s="3">
        <f t="shared" si="7"/>
        <v>18.49372</v>
      </c>
      <c r="L184" t="s">
        <v>21</v>
      </c>
      <c r="M184" s="4">
        <v>1.2E-2</v>
      </c>
      <c r="N184" s="5">
        <f t="shared" si="8"/>
        <v>221.92464000000001</v>
      </c>
      <c r="O184" t="s">
        <v>39</v>
      </c>
    </row>
    <row r="185" spans="1:15" x14ac:dyDescent="0.3">
      <c r="A185" t="s">
        <v>259</v>
      </c>
      <c r="B185" s="1">
        <v>46135.78125</v>
      </c>
      <c r="C185" t="str">
        <f t="shared" si="6"/>
        <v>2026-04</v>
      </c>
      <c r="D185" t="s">
        <v>24</v>
      </c>
      <c r="E185" t="s">
        <v>17</v>
      </c>
      <c r="F185" t="s">
        <v>63</v>
      </c>
      <c r="G185" t="s">
        <v>64</v>
      </c>
      <c r="H185" t="s">
        <v>54</v>
      </c>
      <c r="I185" s="2">
        <v>81.5</v>
      </c>
      <c r="J185" s="2">
        <v>264</v>
      </c>
      <c r="K185" s="3">
        <f t="shared" si="7"/>
        <v>21.515999999999998</v>
      </c>
      <c r="L185" t="s">
        <v>21</v>
      </c>
      <c r="M185" s="4">
        <v>1.4999999999999999E-2</v>
      </c>
      <c r="N185" s="5">
        <f t="shared" si="8"/>
        <v>322.73999999999995</v>
      </c>
      <c r="O185" t="s">
        <v>39</v>
      </c>
    </row>
    <row r="186" spans="1:15" x14ac:dyDescent="0.3">
      <c r="A186" t="s">
        <v>260</v>
      </c>
      <c r="B186" s="1">
        <v>46121.447916666664</v>
      </c>
      <c r="C186" t="str">
        <f t="shared" si="6"/>
        <v>2026-04</v>
      </c>
      <c r="D186" t="s">
        <v>69</v>
      </c>
      <c r="E186" t="s">
        <v>47</v>
      </c>
      <c r="F186" t="s">
        <v>63</v>
      </c>
      <c r="G186" t="s">
        <v>67</v>
      </c>
      <c r="H186" t="s">
        <v>32</v>
      </c>
      <c r="I186" s="2">
        <v>206.3</v>
      </c>
      <c r="J186" s="2">
        <v>232.8</v>
      </c>
      <c r="K186" s="3">
        <f t="shared" si="7"/>
        <v>48.026640000000008</v>
      </c>
      <c r="L186" t="s">
        <v>43</v>
      </c>
      <c r="M186" s="4">
        <v>1.4999999999999999E-2</v>
      </c>
      <c r="N186" s="5">
        <f t="shared" si="8"/>
        <v>0</v>
      </c>
      <c r="O186" t="s">
        <v>44</v>
      </c>
    </row>
    <row r="187" spans="1:15" x14ac:dyDescent="0.3">
      <c r="A187" t="s">
        <v>261</v>
      </c>
      <c r="B187" s="1">
        <v>46119.71875</v>
      </c>
      <c r="C187" t="str">
        <f t="shared" si="6"/>
        <v>2026-04</v>
      </c>
      <c r="D187" t="s">
        <v>46</v>
      </c>
      <c r="E187" t="s">
        <v>17</v>
      </c>
      <c r="F187" t="s">
        <v>30</v>
      </c>
      <c r="G187" t="s">
        <v>42</v>
      </c>
      <c r="H187" t="s">
        <v>49</v>
      </c>
      <c r="I187" s="2">
        <v>186.6</v>
      </c>
      <c r="J187" s="2">
        <v>57.2</v>
      </c>
      <c r="K187" s="3">
        <f t="shared" si="7"/>
        <v>10.67352</v>
      </c>
      <c r="L187" t="s">
        <v>21</v>
      </c>
      <c r="M187" s="4">
        <v>1.2E-2</v>
      </c>
      <c r="N187" s="5">
        <f t="shared" si="8"/>
        <v>128.08224000000001</v>
      </c>
      <c r="O187" t="s">
        <v>39</v>
      </c>
    </row>
    <row r="188" spans="1:15" x14ac:dyDescent="0.3">
      <c r="A188" t="s">
        <v>262</v>
      </c>
      <c r="B188" s="1">
        <v>46135.34375</v>
      </c>
      <c r="C188" t="str">
        <f t="shared" si="6"/>
        <v>2026-04</v>
      </c>
      <c r="D188" t="s">
        <v>51</v>
      </c>
      <c r="E188" t="s">
        <v>47</v>
      </c>
      <c r="F188" t="s">
        <v>30</v>
      </c>
      <c r="G188" t="s">
        <v>139</v>
      </c>
      <c r="H188" t="s">
        <v>61</v>
      </c>
      <c r="I188" s="2">
        <v>119.4</v>
      </c>
      <c r="J188" s="2">
        <v>25.1</v>
      </c>
      <c r="K188" s="3">
        <f t="shared" si="7"/>
        <v>2.9969400000000004</v>
      </c>
      <c r="L188" t="s">
        <v>43</v>
      </c>
      <c r="M188" s="4">
        <v>8.0000000000000002E-3</v>
      </c>
      <c r="N188" s="5">
        <f t="shared" si="8"/>
        <v>0</v>
      </c>
      <c r="O188" t="s">
        <v>33</v>
      </c>
    </row>
    <row r="189" spans="1:15" x14ac:dyDescent="0.3">
      <c r="A189" t="s">
        <v>263</v>
      </c>
      <c r="B189" s="1">
        <v>46130.739583333336</v>
      </c>
      <c r="C189" t="str">
        <f t="shared" si="6"/>
        <v>2026-04</v>
      </c>
      <c r="D189" t="s">
        <v>51</v>
      </c>
      <c r="E189" t="s">
        <v>29</v>
      </c>
      <c r="F189" t="s">
        <v>25</v>
      </c>
      <c r="G189" t="s">
        <v>64</v>
      </c>
      <c r="H189" t="s">
        <v>59</v>
      </c>
      <c r="I189" s="2">
        <v>120.2</v>
      </c>
      <c r="J189" s="2">
        <v>55.5</v>
      </c>
      <c r="K189" s="3">
        <f t="shared" si="7"/>
        <v>6.6711</v>
      </c>
      <c r="L189" t="s">
        <v>21</v>
      </c>
      <c r="M189" s="4">
        <v>1.2E-2</v>
      </c>
      <c r="N189" s="5">
        <f t="shared" si="8"/>
        <v>80.053200000000004</v>
      </c>
      <c r="O189" t="s">
        <v>39</v>
      </c>
    </row>
    <row r="190" spans="1:15" x14ac:dyDescent="0.3">
      <c r="A190" t="s">
        <v>264</v>
      </c>
      <c r="B190" s="1">
        <v>46133.520833333336</v>
      </c>
      <c r="C190" t="str">
        <f t="shared" si="6"/>
        <v>2026-04</v>
      </c>
      <c r="D190" t="s">
        <v>16</v>
      </c>
      <c r="E190" t="s">
        <v>36</v>
      </c>
      <c r="F190" t="s">
        <v>25</v>
      </c>
      <c r="G190" t="s">
        <v>67</v>
      </c>
      <c r="H190" t="s">
        <v>71</v>
      </c>
      <c r="I190" s="2">
        <v>60.9</v>
      </c>
      <c r="J190" s="2">
        <v>52.4</v>
      </c>
      <c r="K190" s="3">
        <f t="shared" si="7"/>
        <v>3.19116</v>
      </c>
      <c r="L190" t="s">
        <v>21</v>
      </c>
      <c r="M190" s="4">
        <v>0.02</v>
      </c>
      <c r="N190" s="5">
        <f t="shared" si="8"/>
        <v>63.8232</v>
      </c>
      <c r="O190" t="s">
        <v>39</v>
      </c>
    </row>
    <row r="191" spans="1:15" x14ac:dyDescent="0.3">
      <c r="A191" t="s">
        <v>265</v>
      </c>
      <c r="B191" s="1">
        <v>46140.5625</v>
      </c>
      <c r="C191" t="str">
        <f t="shared" si="6"/>
        <v>2026-04</v>
      </c>
      <c r="D191" t="s">
        <v>107</v>
      </c>
      <c r="E191" t="s">
        <v>17</v>
      </c>
      <c r="F191" t="s">
        <v>18</v>
      </c>
      <c r="G191" t="s">
        <v>19</v>
      </c>
      <c r="H191" t="s">
        <v>81</v>
      </c>
      <c r="I191" s="2">
        <v>320.39999999999998</v>
      </c>
      <c r="J191" s="2">
        <v>173.5</v>
      </c>
      <c r="K191" s="3">
        <f t="shared" si="7"/>
        <v>55.589399999999998</v>
      </c>
      <c r="L191" t="s">
        <v>21</v>
      </c>
      <c r="M191" s="4">
        <v>8.0000000000000002E-3</v>
      </c>
      <c r="N191" s="5">
        <f t="shared" si="8"/>
        <v>444.71519999999998</v>
      </c>
      <c r="O191" t="s">
        <v>22</v>
      </c>
    </row>
    <row r="192" spans="1:15" x14ac:dyDescent="0.3">
      <c r="A192" t="s">
        <v>266</v>
      </c>
      <c r="B192" s="1">
        <v>46122.604166666664</v>
      </c>
      <c r="C192" t="str">
        <f t="shared" si="6"/>
        <v>2026-04</v>
      </c>
      <c r="D192" t="s">
        <v>73</v>
      </c>
      <c r="E192" t="s">
        <v>17</v>
      </c>
      <c r="F192" t="s">
        <v>52</v>
      </c>
      <c r="G192" t="s">
        <v>109</v>
      </c>
      <c r="H192" t="s">
        <v>49</v>
      </c>
      <c r="I192" s="2">
        <v>165.1</v>
      </c>
      <c r="J192" s="2">
        <v>135.1</v>
      </c>
      <c r="K192" s="3">
        <f t="shared" si="7"/>
        <v>22.305009999999999</v>
      </c>
      <c r="L192" t="s">
        <v>21</v>
      </c>
      <c r="M192" s="4">
        <v>8.0000000000000002E-3</v>
      </c>
      <c r="N192" s="5">
        <f t="shared" si="8"/>
        <v>178.44007999999999</v>
      </c>
      <c r="O192" t="s">
        <v>22</v>
      </c>
    </row>
    <row r="193" spans="1:15" x14ac:dyDescent="0.3">
      <c r="A193" t="s">
        <v>267</v>
      </c>
      <c r="B193" s="1">
        <v>46113.604166666664</v>
      </c>
      <c r="C193" t="str">
        <f t="shared" si="6"/>
        <v>2026-04</v>
      </c>
      <c r="D193" t="s">
        <v>16</v>
      </c>
      <c r="E193" t="s">
        <v>36</v>
      </c>
      <c r="F193" t="s">
        <v>30</v>
      </c>
      <c r="G193" t="s">
        <v>31</v>
      </c>
      <c r="H193" t="s">
        <v>65</v>
      </c>
      <c r="I193" s="2">
        <v>157.4</v>
      </c>
      <c r="J193" s="2">
        <v>54.5</v>
      </c>
      <c r="K193" s="3">
        <f t="shared" si="7"/>
        <v>8.5783000000000005</v>
      </c>
      <c r="L193" t="s">
        <v>43</v>
      </c>
      <c r="M193" s="4">
        <v>8.0000000000000002E-3</v>
      </c>
      <c r="N193" s="5">
        <f t="shared" si="8"/>
        <v>0</v>
      </c>
      <c r="O193" t="s">
        <v>44</v>
      </c>
    </row>
    <row r="194" spans="1:15" x14ac:dyDescent="0.3">
      <c r="A194" t="s">
        <v>268</v>
      </c>
      <c r="B194" s="1">
        <v>46121.65625</v>
      </c>
      <c r="C194" t="str">
        <f t="shared" si="6"/>
        <v>2026-04</v>
      </c>
      <c r="D194" t="s">
        <v>16</v>
      </c>
      <c r="E194" t="s">
        <v>36</v>
      </c>
      <c r="F194" t="s">
        <v>52</v>
      </c>
      <c r="G194" t="s">
        <v>57</v>
      </c>
      <c r="H194" t="s">
        <v>65</v>
      </c>
      <c r="I194" s="2">
        <v>176.9</v>
      </c>
      <c r="J194" s="2">
        <v>178.7</v>
      </c>
      <c r="K194" s="3">
        <f t="shared" si="7"/>
        <v>31.612029999999997</v>
      </c>
      <c r="L194" t="s">
        <v>43</v>
      </c>
      <c r="M194" s="4">
        <v>1.4999999999999999E-2</v>
      </c>
      <c r="N194" s="5">
        <f t="shared" si="8"/>
        <v>0</v>
      </c>
      <c r="O194" t="s">
        <v>33</v>
      </c>
    </row>
    <row r="195" spans="1:15" x14ac:dyDescent="0.3">
      <c r="A195" t="s">
        <v>269</v>
      </c>
      <c r="B195" s="1">
        <v>46132.739583333336</v>
      </c>
      <c r="C195" t="str">
        <f t="shared" ref="C195:C258" si="9">TEXT(B195,"yyyy-mm")</f>
        <v>2026-04</v>
      </c>
      <c r="D195" t="s">
        <v>35</v>
      </c>
      <c r="E195" t="s">
        <v>47</v>
      </c>
      <c r="F195" t="s">
        <v>25</v>
      </c>
      <c r="G195" t="s">
        <v>102</v>
      </c>
      <c r="H195" t="s">
        <v>59</v>
      </c>
      <c r="I195" s="2">
        <v>78.2</v>
      </c>
      <c r="J195" s="2">
        <v>104.6</v>
      </c>
      <c r="K195" s="3">
        <f t="shared" ref="K195:K258" si="10">I195*J195/1000</f>
        <v>8.1797199999999997</v>
      </c>
      <c r="L195" t="s">
        <v>21</v>
      </c>
      <c r="M195" s="4">
        <v>0.02</v>
      </c>
      <c r="N195" s="5">
        <f t="shared" ref="N195:N258" si="11">IF(L195="Đã bán",K195*M195*1000,0)</f>
        <v>163.59440000000001</v>
      </c>
      <c r="O195" t="s">
        <v>33</v>
      </c>
    </row>
    <row r="196" spans="1:15" x14ac:dyDescent="0.3">
      <c r="A196" t="s">
        <v>270</v>
      </c>
      <c r="B196" s="1">
        <v>46130.427083333336</v>
      </c>
      <c r="C196" t="str">
        <f t="shared" si="9"/>
        <v>2026-04</v>
      </c>
      <c r="D196" t="s">
        <v>16</v>
      </c>
      <c r="E196" t="s">
        <v>17</v>
      </c>
      <c r="F196" t="s">
        <v>25</v>
      </c>
      <c r="G196" t="s">
        <v>26</v>
      </c>
      <c r="H196" t="s">
        <v>32</v>
      </c>
      <c r="I196" s="2">
        <v>96.1</v>
      </c>
      <c r="J196" s="2">
        <v>82.1</v>
      </c>
      <c r="K196" s="3">
        <f t="shared" si="10"/>
        <v>7.8898099999999989</v>
      </c>
      <c r="L196" t="s">
        <v>21</v>
      </c>
      <c r="M196" s="4">
        <v>0.01</v>
      </c>
      <c r="N196" s="5">
        <f t="shared" si="11"/>
        <v>78.898099999999985</v>
      </c>
      <c r="O196" t="s">
        <v>44</v>
      </c>
    </row>
    <row r="197" spans="1:15" x14ac:dyDescent="0.3">
      <c r="A197" t="s">
        <v>271</v>
      </c>
      <c r="B197" s="1">
        <v>46139.770833333336</v>
      </c>
      <c r="C197" t="str">
        <f t="shared" si="9"/>
        <v>2026-04</v>
      </c>
      <c r="D197" t="s">
        <v>51</v>
      </c>
      <c r="E197" t="s">
        <v>29</v>
      </c>
      <c r="F197" t="s">
        <v>52</v>
      </c>
      <c r="G197" t="s">
        <v>53</v>
      </c>
      <c r="H197" t="s">
        <v>65</v>
      </c>
      <c r="I197" s="2">
        <v>123.8</v>
      </c>
      <c r="J197" s="2">
        <v>93.2</v>
      </c>
      <c r="K197" s="3">
        <f t="shared" si="10"/>
        <v>11.53816</v>
      </c>
      <c r="L197" t="s">
        <v>43</v>
      </c>
      <c r="M197" s="4">
        <v>8.0000000000000002E-3</v>
      </c>
      <c r="N197" s="5">
        <f t="shared" si="11"/>
        <v>0</v>
      </c>
      <c r="O197" t="s">
        <v>22</v>
      </c>
    </row>
    <row r="198" spans="1:15" x14ac:dyDescent="0.3">
      <c r="A198" t="s">
        <v>272</v>
      </c>
      <c r="B198" s="1">
        <v>46134.458333333336</v>
      </c>
      <c r="C198" t="str">
        <f t="shared" si="9"/>
        <v>2026-04</v>
      </c>
      <c r="D198" t="s">
        <v>24</v>
      </c>
      <c r="E198" t="s">
        <v>29</v>
      </c>
      <c r="F198" t="s">
        <v>25</v>
      </c>
      <c r="G198" t="s">
        <v>67</v>
      </c>
      <c r="H198" t="s">
        <v>74</v>
      </c>
      <c r="I198" s="2">
        <v>106.4</v>
      </c>
      <c r="J198" s="2">
        <v>105.6</v>
      </c>
      <c r="K198" s="3">
        <f t="shared" si="10"/>
        <v>11.23584</v>
      </c>
      <c r="L198" t="s">
        <v>43</v>
      </c>
      <c r="M198" s="4">
        <v>8.0000000000000002E-3</v>
      </c>
      <c r="N198" s="5">
        <f t="shared" si="11"/>
        <v>0</v>
      </c>
      <c r="O198" t="s">
        <v>22</v>
      </c>
    </row>
    <row r="199" spans="1:15" x14ac:dyDescent="0.3">
      <c r="A199" t="s">
        <v>273</v>
      </c>
      <c r="B199" s="1">
        <v>46120.78125</v>
      </c>
      <c r="C199" t="str">
        <f t="shared" si="9"/>
        <v>2026-04</v>
      </c>
      <c r="D199" t="s">
        <v>69</v>
      </c>
      <c r="E199" t="s">
        <v>41</v>
      </c>
      <c r="F199" t="s">
        <v>18</v>
      </c>
      <c r="G199" t="s">
        <v>19</v>
      </c>
      <c r="H199" t="s">
        <v>81</v>
      </c>
      <c r="I199" s="2">
        <v>357</v>
      </c>
      <c r="J199" s="2">
        <v>142.5</v>
      </c>
      <c r="K199" s="3">
        <f t="shared" si="10"/>
        <v>50.872500000000002</v>
      </c>
      <c r="L199" t="s">
        <v>21</v>
      </c>
      <c r="M199" s="4">
        <v>0.01</v>
      </c>
      <c r="N199" s="5">
        <f t="shared" si="11"/>
        <v>508.72499999999997</v>
      </c>
      <c r="O199" t="s">
        <v>22</v>
      </c>
    </row>
    <row r="200" spans="1:15" x14ac:dyDescent="0.3">
      <c r="A200" t="s">
        <v>274</v>
      </c>
      <c r="B200" s="1">
        <v>46119.541666666664</v>
      </c>
      <c r="C200" t="str">
        <f t="shared" si="9"/>
        <v>2026-04</v>
      </c>
      <c r="D200" t="s">
        <v>107</v>
      </c>
      <c r="E200" t="s">
        <v>47</v>
      </c>
      <c r="F200" t="s">
        <v>18</v>
      </c>
      <c r="G200" t="s">
        <v>48</v>
      </c>
      <c r="H200" t="s">
        <v>49</v>
      </c>
      <c r="I200" s="2">
        <v>436</v>
      </c>
      <c r="J200" s="2">
        <v>89.5</v>
      </c>
      <c r="K200" s="3">
        <f t="shared" si="10"/>
        <v>39.021999999999998</v>
      </c>
      <c r="L200" t="s">
        <v>21</v>
      </c>
      <c r="M200" s="4">
        <v>1.2E-2</v>
      </c>
      <c r="N200" s="5">
        <f t="shared" si="11"/>
        <v>468.26400000000001</v>
      </c>
      <c r="O200" t="s">
        <v>79</v>
      </c>
    </row>
    <row r="201" spans="1:15" x14ac:dyDescent="0.3">
      <c r="A201" t="s">
        <v>275</v>
      </c>
      <c r="B201" s="1">
        <v>46130.34375</v>
      </c>
      <c r="C201" t="str">
        <f t="shared" si="9"/>
        <v>2026-04</v>
      </c>
      <c r="D201" t="s">
        <v>73</v>
      </c>
      <c r="E201" t="s">
        <v>29</v>
      </c>
      <c r="F201" t="s">
        <v>25</v>
      </c>
      <c r="G201" t="s">
        <v>64</v>
      </c>
      <c r="H201" t="s">
        <v>27</v>
      </c>
      <c r="I201" s="2">
        <v>61.8</v>
      </c>
      <c r="J201" s="2">
        <v>61.9</v>
      </c>
      <c r="K201" s="3">
        <f t="shared" si="10"/>
        <v>3.8254199999999998</v>
      </c>
      <c r="L201" t="s">
        <v>43</v>
      </c>
      <c r="M201" s="4">
        <v>8.0000000000000002E-3</v>
      </c>
      <c r="N201" s="5">
        <f t="shared" si="11"/>
        <v>0</v>
      </c>
      <c r="O201" t="s">
        <v>39</v>
      </c>
    </row>
    <row r="202" spans="1:15" x14ac:dyDescent="0.3">
      <c r="A202" t="s">
        <v>276</v>
      </c>
      <c r="B202" s="1">
        <v>46125.625</v>
      </c>
      <c r="C202" t="str">
        <f t="shared" si="9"/>
        <v>2026-04</v>
      </c>
      <c r="D202" t="s">
        <v>69</v>
      </c>
      <c r="E202" t="s">
        <v>47</v>
      </c>
      <c r="F202" t="s">
        <v>52</v>
      </c>
      <c r="G202" t="s">
        <v>57</v>
      </c>
      <c r="H202" t="s">
        <v>61</v>
      </c>
      <c r="I202" s="2">
        <v>105.1</v>
      </c>
      <c r="J202" s="2">
        <v>123.5</v>
      </c>
      <c r="K202" s="3">
        <f t="shared" si="10"/>
        <v>12.979849999999999</v>
      </c>
      <c r="L202" t="s">
        <v>55</v>
      </c>
      <c r="M202" s="4">
        <v>8.0000000000000002E-3</v>
      </c>
      <c r="N202" s="5">
        <f t="shared" si="11"/>
        <v>0</v>
      </c>
      <c r="O202" t="s">
        <v>79</v>
      </c>
    </row>
    <row r="203" spans="1:15" x14ac:dyDescent="0.3">
      <c r="A203" t="s">
        <v>277</v>
      </c>
      <c r="B203" s="1">
        <v>46135.375</v>
      </c>
      <c r="C203" t="str">
        <f t="shared" si="9"/>
        <v>2026-04</v>
      </c>
      <c r="D203" t="s">
        <v>46</v>
      </c>
      <c r="E203" t="s">
        <v>47</v>
      </c>
      <c r="F203" t="s">
        <v>37</v>
      </c>
      <c r="G203" t="s">
        <v>70</v>
      </c>
      <c r="H203" t="s">
        <v>65</v>
      </c>
      <c r="I203" s="2">
        <v>146.19999999999999</v>
      </c>
      <c r="J203" s="2">
        <v>107.5</v>
      </c>
      <c r="K203" s="3">
        <f t="shared" si="10"/>
        <v>15.716499999999998</v>
      </c>
      <c r="L203" t="s">
        <v>55</v>
      </c>
      <c r="M203" s="4">
        <v>1.4999999999999999E-2</v>
      </c>
      <c r="N203" s="5">
        <f t="shared" si="11"/>
        <v>0</v>
      </c>
      <c r="O203" t="s">
        <v>33</v>
      </c>
    </row>
    <row r="204" spans="1:15" x14ac:dyDescent="0.3">
      <c r="A204" t="s">
        <v>278</v>
      </c>
      <c r="B204" s="1">
        <v>46132.53125</v>
      </c>
      <c r="C204" t="str">
        <f t="shared" si="9"/>
        <v>2026-04</v>
      </c>
      <c r="D204" t="s">
        <v>69</v>
      </c>
      <c r="E204" t="s">
        <v>29</v>
      </c>
      <c r="F204" t="s">
        <v>63</v>
      </c>
      <c r="G204" t="s">
        <v>122</v>
      </c>
      <c r="H204" t="s">
        <v>20</v>
      </c>
      <c r="I204" s="2">
        <v>153.80000000000001</v>
      </c>
      <c r="J204" s="2">
        <v>156.19999999999999</v>
      </c>
      <c r="K204" s="3">
        <f t="shared" si="10"/>
        <v>24.02356</v>
      </c>
      <c r="L204" t="s">
        <v>21</v>
      </c>
      <c r="M204" s="4">
        <v>0.01</v>
      </c>
      <c r="N204" s="5">
        <f t="shared" si="11"/>
        <v>240.23560000000001</v>
      </c>
      <c r="O204" t="s">
        <v>22</v>
      </c>
    </row>
    <row r="205" spans="1:15" x14ac:dyDescent="0.3">
      <c r="A205" t="s">
        <v>279</v>
      </c>
      <c r="B205" s="1">
        <v>46118.34375</v>
      </c>
      <c r="C205" t="str">
        <f t="shared" si="9"/>
        <v>2026-04</v>
      </c>
      <c r="D205" t="s">
        <v>46</v>
      </c>
      <c r="E205" t="s">
        <v>47</v>
      </c>
      <c r="F205" t="s">
        <v>30</v>
      </c>
      <c r="G205" t="s">
        <v>31</v>
      </c>
      <c r="H205" t="s">
        <v>65</v>
      </c>
      <c r="I205" s="2">
        <v>197.5</v>
      </c>
      <c r="J205" s="2">
        <v>64.3</v>
      </c>
      <c r="K205" s="3">
        <f t="shared" si="10"/>
        <v>12.699249999999999</v>
      </c>
      <c r="L205" t="s">
        <v>78</v>
      </c>
      <c r="M205" s="4">
        <v>1.2E-2</v>
      </c>
      <c r="N205" s="5">
        <f t="shared" si="11"/>
        <v>0</v>
      </c>
      <c r="O205" t="s">
        <v>44</v>
      </c>
    </row>
    <row r="206" spans="1:15" x14ac:dyDescent="0.3">
      <c r="A206" t="s">
        <v>280</v>
      </c>
      <c r="B206" s="1">
        <v>46130.333333333336</v>
      </c>
      <c r="C206" t="str">
        <f t="shared" si="9"/>
        <v>2026-04</v>
      </c>
      <c r="D206" t="s">
        <v>16</v>
      </c>
      <c r="E206" t="s">
        <v>47</v>
      </c>
      <c r="F206" t="s">
        <v>63</v>
      </c>
      <c r="G206" t="s">
        <v>67</v>
      </c>
      <c r="H206" t="s">
        <v>71</v>
      </c>
      <c r="I206" s="2">
        <v>114.1</v>
      </c>
      <c r="J206" s="2">
        <v>195.1</v>
      </c>
      <c r="K206" s="3">
        <f t="shared" si="10"/>
        <v>22.260909999999999</v>
      </c>
      <c r="L206" t="s">
        <v>55</v>
      </c>
      <c r="M206" s="4">
        <v>0.02</v>
      </c>
      <c r="N206" s="5">
        <f t="shared" si="11"/>
        <v>0</v>
      </c>
      <c r="O206" t="s">
        <v>79</v>
      </c>
    </row>
    <row r="207" spans="1:15" x14ac:dyDescent="0.3">
      <c r="A207" t="s">
        <v>281</v>
      </c>
      <c r="B207" s="1">
        <v>46120.625</v>
      </c>
      <c r="C207" t="str">
        <f t="shared" si="9"/>
        <v>2026-04</v>
      </c>
      <c r="D207" t="s">
        <v>69</v>
      </c>
      <c r="E207" t="s">
        <v>29</v>
      </c>
      <c r="F207" t="s">
        <v>63</v>
      </c>
      <c r="G207" t="s">
        <v>88</v>
      </c>
      <c r="H207" t="s">
        <v>54</v>
      </c>
      <c r="I207" s="2">
        <v>183.6</v>
      </c>
      <c r="J207" s="2">
        <v>160.30000000000001</v>
      </c>
      <c r="K207" s="3">
        <f t="shared" si="10"/>
        <v>29.431080000000001</v>
      </c>
      <c r="L207" t="s">
        <v>21</v>
      </c>
      <c r="M207" s="4">
        <v>1.4999999999999999E-2</v>
      </c>
      <c r="N207" s="5">
        <f t="shared" si="11"/>
        <v>441.46620000000001</v>
      </c>
      <c r="O207" t="s">
        <v>33</v>
      </c>
    </row>
    <row r="208" spans="1:15" x14ac:dyDescent="0.3">
      <c r="A208" t="s">
        <v>282</v>
      </c>
      <c r="B208" s="1">
        <v>46115.645833333336</v>
      </c>
      <c r="C208" t="str">
        <f t="shared" si="9"/>
        <v>2026-04</v>
      </c>
      <c r="D208" t="s">
        <v>35</v>
      </c>
      <c r="E208" t="s">
        <v>47</v>
      </c>
      <c r="F208" t="s">
        <v>18</v>
      </c>
      <c r="G208" t="s">
        <v>48</v>
      </c>
      <c r="H208" t="s">
        <v>85</v>
      </c>
      <c r="I208" s="2">
        <v>401.2</v>
      </c>
      <c r="J208" s="2">
        <v>209.3</v>
      </c>
      <c r="K208" s="3">
        <f t="shared" si="10"/>
        <v>83.971159999999998</v>
      </c>
      <c r="L208" t="s">
        <v>21</v>
      </c>
      <c r="M208" s="4">
        <v>1.4999999999999999E-2</v>
      </c>
      <c r="N208" s="5">
        <f t="shared" si="11"/>
        <v>1259.5673999999999</v>
      </c>
      <c r="O208" t="s">
        <v>44</v>
      </c>
    </row>
    <row r="209" spans="1:15" x14ac:dyDescent="0.3">
      <c r="A209" t="s">
        <v>283</v>
      </c>
      <c r="B209" s="1">
        <v>46122.59375</v>
      </c>
      <c r="C209" t="str">
        <f t="shared" si="9"/>
        <v>2026-04</v>
      </c>
      <c r="D209" t="s">
        <v>24</v>
      </c>
      <c r="E209" t="s">
        <v>47</v>
      </c>
      <c r="F209" t="s">
        <v>52</v>
      </c>
      <c r="G209" t="s">
        <v>53</v>
      </c>
      <c r="H209" t="s">
        <v>61</v>
      </c>
      <c r="I209" s="2">
        <v>134.19999999999999</v>
      </c>
      <c r="J209" s="2">
        <v>94.8</v>
      </c>
      <c r="K209" s="3">
        <f t="shared" si="10"/>
        <v>12.722159999999999</v>
      </c>
      <c r="L209" t="s">
        <v>21</v>
      </c>
      <c r="M209" s="4">
        <v>1.2E-2</v>
      </c>
      <c r="N209" s="5">
        <f t="shared" si="11"/>
        <v>152.66591999999997</v>
      </c>
      <c r="O209" t="s">
        <v>22</v>
      </c>
    </row>
    <row r="210" spans="1:15" x14ac:dyDescent="0.3">
      <c r="A210" t="s">
        <v>284</v>
      </c>
      <c r="B210" s="1">
        <v>46115.760416666664</v>
      </c>
      <c r="C210" t="str">
        <f t="shared" si="9"/>
        <v>2026-04</v>
      </c>
      <c r="D210" t="s">
        <v>35</v>
      </c>
      <c r="E210" t="s">
        <v>29</v>
      </c>
      <c r="F210" t="s">
        <v>18</v>
      </c>
      <c r="G210" t="s">
        <v>64</v>
      </c>
      <c r="H210" t="s">
        <v>71</v>
      </c>
      <c r="I210" s="2">
        <v>323.7</v>
      </c>
      <c r="J210" s="2">
        <v>218.8</v>
      </c>
      <c r="K210" s="3">
        <f t="shared" si="10"/>
        <v>70.825559999999996</v>
      </c>
      <c r="L210" t="s">
        <v>21</v>
      </c>
      <c r="M210" s="4">
        <v>0.01</v>
      </c>
      <c r="N210" s="5">
        <f t="shared" si="11"/>
        <v>708.25559999999996</v>
      </c>
      <c r="O210" t="s">
        <v>79</v>
      </c>
    </row>
    <row r="211" spans="1:15" x14ac:dyDescent="0.3">
      <c r="A211" t="s">
        <v>285</v>
      </c>
      <c r="B211" s="1">
        <v>46139.625</v>
      </c>
      <c r="C211" t="str">
        <f t="shared" si="9"/>
        <v>2026-04</v>
      </c>
      <c r="D211" t="s">
        <v>24</v>
      </c>
      <c r="E211" t="s">
        <v>41</v>
      </c>
      <c r="F211" t="s">
        <v>25</v>
      </c>
      <c r="G211" t="s">
        <v>102</v>
      </c>
      <c r="H211" t="s">
        <v>65</v>
      </c>
      <c r="I211" s="2">
        <v>82.6</v>
      </c>
      <c r="J211" s="2">
        <v>103.6</v>
      </c>
      <c r="K211" s="3">
        <f t="shared" si="10"/>
        <v>8.5573599999999992</v>
      </c>
      <c r="L211" t="s">
        <v>21</v>
      </c>
      <c r="M211" s="4">
        <v>8.0000000000000002E-3</v>
      </c>
      <c r="N211" s="5">
        <f t="shared" si="11"/>
        <v>68.458879999999994</v>
      </c>
      <c r="O211" t="s">
        <v>44</v>
      </c>
    </row>
    <row r="212" spans="1:15" x14ac:dyDescent="0.3">
      <c r="A212" t="s">
        <v>286</v>
      </c>
      <c r="B212" s="1">
        <v>46121.75</v>
      </c>
      <c r="C212" t="str">
        <f t="shared" si="9"/>
        <v>2026-04</v>
      </c>
      <c r="D212" t="s">
        <v>46</v>
      </c>
      <c r="E212" t="s">
        <v>41</v>
      </c>
      <c r="F212" t="s">
        <v>37</v>
      </c>
      <c r="G212" t="s">
        <v>156</v>
      </c>
      <c r="H212" t="s">
        <v>54</v>
      </c>
      <c r="I212" s="2">
        <v>149.6</v>
      </c>
      <c r="J212" s="2">
        <v>209.3</v>
      </c>
      <c r="K212" s="3">
        <f t="shared" si="10"/>
        <v>31.31128</v>
      </c>
      <c r="L212" t="s">
        <v>43</v>
      </c>
      <c r="M212" s="4">
        <v>0.02</v>
      </c>
      <c r="N212" s="5">
        <f t="shared" si="11"/>
        <v>0</v>
      </c>
      <c r="O212" t="s">
        <v>44</v>
      </c>
    </row>
    <row r="213" spans="1:15" x14ac:dyDescent="0.3">
      <c r="A213" t="s">
        <v>287</v>
      </c>
      <c r="B213" s="1">
        <v>46117.614583333336</v>
      </c>
      <c r="C213" t="str">
        <f t="shared" si="9"/>
        <v>2026-04</v>
      </c>
      <c r="D213" t="s">
        <v>24</v>
      </c>
      <c r="E213" t="s">
        <v>17</v>
      </c>
      <c r="F213" t="s">
        <v>52</v>
      </c>
      <c r="G213" t="s">
        <v>53</v>
      </c>
      <c r="H213" t="s">
        <v>65</v>
      </c>
      <c r="I213" s="2">
        <v>78.2</v>
      </c>
      <c r="J213" s="2">
        <v>147.80000000000001</v>
      </c>
      <c r="K213" s="3">
        <f t="shared" si="10"/>
        <v>11.557960000000001</v>
      </c>
      <c r="L213" t="s">
        <v>55</v>
      </c>
      <c r="M213" s="4">
        <v>8.0000000000000002E-3</v>
      </c>
      <c r="N213" s="5">
        <f t="shared" si="11"/>
        <v>0</v>
      </c>
      <c r="O213" t="s">
        <v>39</v>
      </c>
    </row>
    <row r="214" spans="1:15" x14ac:dyDescent="0.3">
      <c r="A214" t="s">
        <v>288</v>
      </c>
      <c r="B214" s="1">
        <v>46124.65625</v>
      </c>
      <c r="C214" t="str">
        <f t="shared" si="9"/>
        <v>2026-04</v>
      </c>
      <c r="D214" t="s">
        <v>69</v>
      </c>
      <c r="E214" t="s">
        <v>36</v>
      </c>
      <c r="F214" t="s">
        <v>18</v>
      </c>
      <c r="G214" t="s">
        <v>64</v>
      </c>
      <c r="H214" t="s">
        <v>74</v>
      </c>
      <c r="I214" s="2">
        <v>241.5</v>
      </c>
      <c r="J214" s="2">
        <v>97.1</v>
      </c>
      <c r="K214" s="3">
        <f t="shared" si="10"/>
        <v>23.449649999999998</v>
      </c>
      <c r="L214" t="s">
        <v>21</v>
      </c>
      <c r="M214" s="4">
        <v>1.2E-2</v>
      </c>
      <c r="N214" s="5">
        <f t="shared" si="11"/>
        <v>281.39579999999995</v>
      </c>
      <c r="O214" t="s">
        <v>39</v>
      </c>
    </row>
    <row r="215" spans="1:15" x14ac:dyDescent="0.3">
      <c r="A215" t="s">
        <v>289</v>
      </c>
      <c r="B215" s="1">
        <v>46136.677083333336</v>
      </c>
      <c r="C215" t="str">
        <f t="shared" si="9"/>
        <v>2026-04</v>
      </c>
      <c r="D215" t="s">
        <v>35</v>
      </c>
      <c r="E215" t="s">
        <v>17</v>
      </c>
      <c r="F215" t="s">
        <v>63</v>
      </c>
      <c r="G215" t="s">
        <v>88</v>
      </c>
      <c r="H215" t="s">
        <v>54</v>
      </c>
      <c r="I215" s="2">
        <v>216.8</v>
      </c>
      <c r="J215" s="2">
        <v>133.30000000000001</v>
      </c>
      <c r="K215" s="3">
        <f t="shared" si="10"/>
        <v>28.899440000000002</v>
      </c>
      <c r="L215" t="s">
        <v>55</v>
      </c>
      <c r="M215" s="4">
        <v>8.0000000000000002E-3</v>
      </c>
      <c r="N215" s="5">
        <f t="shared" si="11"/>
        <v>0</v>
      </c>
      <c r="O215" t="s">
        <v>33</v>
      </c>
    </row>
    <row r="216" spans="1:15" x14ac:dyDescent="0.3">
      <c r="A216" t="s">
        <v>290</v>
      </c>
      <c r="B216" s="1">
        <v>46131.677083333336</v>
      </c>
      <c r="C216" t="str">
        <f t="shared" si="9"/>
        <v>2026-04</v>
      </c>
      <c r="D216" t="s">
        <v>35</v>
      </c>
      <c r="E216" t="s">
        <v>47</v>
      </c>
      <c r="F216" t="s">
        <v>52</v>
      </c>
      <c r="G216" t="s">
        <v>109</v>
      </c>
      <c r="H216" t="s">
        <v>20</v>
      </c>
      <c r="I216" s="2">
        <v>136.9</v>
      </c>
      <c r="J216" s="2">
        <v>153.19999999999999</v>
      </c>
      <c r="K216" s="3">
        <f t="shared" si="10"/>
        <v>20.97308</v>
      </c>
      <c r="L216" t="s">
        <v>21</v>
      </c>
      <c r="M216" s="4">
        <v>8.0000000000000002E-3</v>
      </c>
      <c r="N216" s="5">
        <f t="shared" si="11"/>
        <v>167.78464000000002</v>
      </c>
      <c r="O216" t="s">
        <v>33</v>
      </c>
    </row>
    <row r="217" spans="1:15" x14ac:dyDescent="0.3">
      <c r="A217" t="s">
        <v>291</v>
      </c>
      <c r="B217" s="1">
        <v>46120.416666666664</v>
      </c>
      <c r="C217" t="str">
        <f t="shared" si="9"/>
        <v>2026-04</v>
      </c>
      <c r="D217" t="s">
        <v>73</v>
      </c>
      <c r="E217" t="s">
        <v>47</v>
      </c>
      <c r="F217" t="s">
        <v>18</v>
      </c>
      <c r="G217" t="s">
        <v>84</v>
      </c>
      <c r="H217" t="s">
        <v>49</v>
      </c>
      <c r="I217" s="2">
        <v>208.2</v>
      </c>
      <c r="J217" s="2">
        <v>209.7</v>
      </c>
      <c r="K217" s="3">
        <f t="shared" si="10"/>
        <v>43.659539999999993</v>
      </c>
      <c r="L217" t="s">
        <v>21</v>
      </c>
      <c r="M217" s="4">
        <v>8.0000000000000002E-3</v>
      </c>
      <c r="N217" s="5">
        <f t="shared" si="11"/>
        <v>349.27632</v>
      </c>
      <c r="O217" t="s">
        <v>44</v>
      </c>
    </row>
    <row r="218" spans="1:15" x14ac:dyDescent="0.3">
      <c r="A218" t="s">
        <v>292</v>
      </c>
      <c r="B218" s="1">
        <v>46129.75</v>
      </c>
      <c r="C218" t="str">
        <f t="shared" si="9"/>
        <v>2026-04</v>
      </c>
      <c r="D218" t="s">
        <v>46</v>
      </c>
      <c r="E218" t="s">
        <v>41</v>
      </c>
      <c r="F218" t="s">
        <v>25</v>
      </c>
      <c r="G218" t="s">
        <v>67</v>
      </c>
      <c r="H218" t="s">
        <v>20</v>
      </c>
      <c r="I218" s="2">
        <v>94.1</v>
      </c>
      <c r="J218" s="2">
        <v>52.8</v>
      </c>
      <c r="K218" s="3">
        <f t="shared" si="10"/>
        <v>4.9684799999999996</v>
      </c>
      <c r="L218" t="s">
        <v>21</v>
      </c>
      <c r="M218" s="4">
        <v>8.0000000000000002E-3</v>
      </c>
      <c r="N218" s="5">
        <f t="shared" si="11"/>
        <v>39.747839999999997</v>
      </c>
      <c r="O218" t="s">
        <v>22</v>
      </c>
    </row>
    <row r="219" spans="1:15" x14ac:dyDescent="0.3">
      <c r="A219" t="s">
        <v>293</v>
      </c>
      <c r="B219" s="1">
        <v>46113.520833333336</v>
      </c>
      <c r="C219" t="str">
        <f t="shared" si="9"/>
        <v>2026-04</v>
      </c>
      <c r="D219" t="s">
        <v>35</v>
      </c>
      <c r="E219" t="s">
        <v>41</v>
      </c>
      <c r="F219" t="s">
        <v>37</v>
      </c>
      <c r="G219" t="s">
        <v>70</v>
      </c>
      <c r="H219" t="s">
        <v>74</v>
      </c>
      <c r="I219" s="2">
        <v>67</v>
      </c>
      <c r="J219" s="2">
        <v>162.30000000000001</v>
      </c>
      <c r="K219" s="3">
        <f t="shared" si="10"/>
        <v>10.8741</v>
      </c>
      <c r="L219" t="s">
        <v>21</v>
      </c>
      <c r="M219" s="4">
        <v>0.02</v>
      </c>
      <c r="N219" s="5">
        <f t="shared" si="11"/>
        <v>217.482</v>
      </c>
      <c r="O219" t="s">
        <v>33</v>
      </c>
    </row>
    <row r="220" spans="1:15" x14ac:dyDescent="0.3">
      <c r="A220" t="s">
        <v>294</v>
      </c>
      <c r="B220" s="1">
        <v>46114.427083333336</v>
      </c>
      <c r="C220" t="str">
        <f t="shared" si="9"/>
        <v>2026-04</v>
      </c>
      <c r="D220" t="s">
        <v>46</v>
      </c>
      <c r="E220" t="s">
        <v>17</v>
      </c>
      <c r="F220" t="s">
        <v>63</v>
      </c>
      <c r="G220" t="s">
        <v>122</v>
      </c>
      <c r="H220" t="s">
        <v>81</v>
      </c>
      <c r="I220" s="2">
        <v>136.9</v>
      </c>
      <c r="J220" s="2">
        <v>220.6</v>
      </c>
      <c r="K220" s="3">
        <f t="shared" si="10"/>
        <v>30.200140000000001</v>
      </c>
      <c r="L220" t="s">
        <v>43</v>
      </c>
      <c r="M220" s="4">
        <v>1.2E-2</v>
      </c>
      <c r="N220" s="5">
        <f t="shared" si="11"/>
        <v>0</v>
      </c>
      <c r="O220" t="s">
        <v>79</v>
      </c>
    </row>
    <row r="221" spans="1:15" x14ac:dyDescent="0.3">
      <c r="A221" t="s">
        <v>295</v>
      </c>
      <c r="B221" s="1">
        <v>46130.385416666664</v>
      </c>
      <c r="C221" t="str">
        <f t="shared" si="9"/>
        <v>2026-04</v>
      </c>
      <c r="D221" t="s">
        <v>69</v>
      </c>
      <c r="E221" t="s">
        <v>47</v>
      </c>
      <c r="F221" t="s">
        <v>37</v>
      </c>
      <c r="G221" t="s">
        <v>76</v>
      </c>
      <c r="H221" t="s">
        <v>49</v>
      </c>
      <c r="I221" s="2">
        <v>169.6</v>
      </c>
      <c r="J221" s="2">
        <v>155.1</v>
      </c>
      <c r="K221" s="3">
        <f t="shared" si="10"/>
        <v>26.304959999999998</v>
      </c>
      <c r="L221" t="s">
        <v>21</v>
      </c>
      <c r="M221" s="4">
        <v>1.4999999999999999E-2</v>
      </c>
      <c r="N221" s="5">
        <f t="shared" si="11"/>
        <v>394.57439999999991</v>
      </c>
      <c r="O221" t="s">
        <v>33</v>
      </c>
    </row>
    <row r="222" spans="1:15" x14ac:dyDescent="0.3">
      <c r="A222" t="s">
        <v>296</v>
      </c>
      <c r="B222" s="1">
        <v>46114.53125</v>
      </c>
      <c r="C222" t="str">
        <f t="shared" si="9"/>
        <v>2026-04</v>
      </c>
      <c r="D222" t="s">
        <v>24</v>
      </c>
      <c r="E222" t="s">
        <v>47</v>
      </c>
      <c r="F222" t="s">
        <v>37</v>
      </c>
      <c r="G222" t="s">
        <v>38</v>
      </c>
      <c r="H222" t="s">
        <v>74</v>
      </c>
      <c r="I222" s="2">
        <v>156.9</v>
      </c>
      <c r="J222" s="2">
        <v>81.8</v>
      </c>
      <c r="K222" s="3">
        <f t="shared" si="10"/>
        <v>12.83442</v>
      </c>
      <c r="L222" t="s">
        <v>21</v>
      </c>
      <c r="M222" s="4">
        <v>1.2E-2</v>
      </c>
      <c r="N222" s="5">
        <f t="shared" si="11"/>
        <v>154.01303999999999</v>
      </c>
      <c r="O222" t="s">
        <v>33</v>
      </c>
    </row>
    <row r="223" spans="1:15" x14ac:dyDescent="0.3">
      <c r="A223" t="s">
        <v>297</v>
      </c>
      <c r="B223" s="1">
        <v>46125.729166666664</v>
      </c>
      <c r="C223" t="str">
        <f t="shared" si="9"/>
        <v>2026-04</v>
      </c>
      <c r="D223" t="s">
        <v>107</v>
      </c>
      <c r="E223" t="s">
        <v>29</v>
      </c>
      <c r="F223" t="s">
        <v>30</v>
      </c>
      <c r="G223" t="s">
        <v>42</v>
      </c>
      <c r="H223" t="s">
        <v>74</v>
      </c>
      <c r="I223" s="2">
        <v>121.5</v>
      </c>
      <c r="J223" s="2">
        <v>34.299999999999997</v>
      </c>
      <c r="K223" s="3">
        <f t="shared" si="10"/>
        <v>4.1674499999999997</v>
      </c>
      <c r="L223" t="s">
        <v>43</v>
      </c>
      <c r="M223" s="4">
        <v>1.2E-2</v>
      </c>
      <c r="N223" s="5">
        <f t="shared" si="11"/>
        <v>0</v>
      </c>
      <c r="O223" t="s">
        <v>79</v>
      </c>
    </row>
    <row r="224" spans="1:15" x14ac:dyDescent="0.3">
      <c r="A224" t="s">
        <v>298</v>
      </c>
      <c r="B224" s="1">
        <v>46140.625</v>
      </c>
      <c r="C224" t="str">
        <f t="shared" si="9"/>
        <v>2026-04</v>
      </c>
      <c r="D224" t="s">
        <v>46</v>
      </c>
      <c r="E224" t="s">
        <v>29</v>
      </c>
      <c r="F224" t="s">
        <v>18</v>
      </c>
      <c r="G224" t="s">
        <v>48</v>
      </c>
      <c r="H224" t="s">
        <v>65</v>
      </c>
      <c r="I224" s="2">
        <v>428.7</v>
      </c>
      <c r="J224" s="2">
        <v>245.8</v>
      </c>
      <c r="K224" s="3">
        <f t="shared" si="10"/>
        <v>105.37446000000001</v>
      </c>
      <c r="L224" t="s">
        <v>21</v>
      </c>
      <c r="M224" s="4">
        <v>1.4999999999999999E-2</v>
      </c>
      <c r="N224" s="5">
        <f t="shared" si="11"/>
        <v>1580.6169000000002</v>
      </c>
      <c r="O224" t="s">
        <v>33</v>
      </c>
    </row>
    <row r="225" spans="1:15" x14ac:dyDescent="0.3">
      <c r="A225" t="s">
        <v>299</v>
      </c>
      <c r="B225" s="1">
        <v>46126.510416666664</v>
      </c>
      <c r="C225" t="str">
        <f t="shared" si="9"/>
        <v>2026-04</v>
      </c>
      <c r="D225" t="s">
        <v>16</v>
      </c>
      <c r="E225" t="s">
        <v>41</v>
      </c>
      <c r="F225" t="s">
        <v>30</v>
      </c>
      <c r="G225" t="s">
        <v>31</v>
      </c>
      <c r="H225" t="s">
        <v>61</v>
      </c>
      <c r="I225" s="2">
        <v>115</v>
      </c>
      <c r="J225" s="2">
        <v>28.1</v>
      </c>
      <c r="K225" s="3">
        <f t="shared" si="10"/>
        <v>3.2315</v>
      </c>
      <c r="L225" t="s">
        <v>78</v>
      </c>
      <c r="M225" s="4">
        <v>0.01</v>
      </c>
      <c r="N225" s="5">
        <f t="shared" si="11"/>
        <v>0</v>
      </c>
      <c r="O225" t="s">
        <v>79</v>
      </c>
    </row>
    <row r="226" spans="1:15" x14ac:dyDescent="0.3">
      <c r="A226" t="s">
        <v>300</v>
      </c>
      <c r="B226" s="1">
        <v>46138.645833333336</v>
      </c>
      <c r="C226" t="str">
        <f t="shared" si="9"/>
        <v>2026-04</v>
      </c>
      <c r="D226" t="s">
        <v>35</v>
      </c>
      <c r="E226" t="s">
        <v>36</v>
      </c>
      <c r="F226" t="s">
        <v>37</v>
      </c>
      <c r="G226" t="s">
        <v>38</v>
      </c>
      <c r="H226" t="s">
        <v>81</v>
      </c>
      <c r="I226" s="2">
        <v>125.8</v>
      </c>
      <c r="J226" s="2">
        <v>221.1</v>
      </c>
      <c r="K226" s="3">
        <f t="shared" si="10"/>
        <v>27.814379999999996</v>
      </c>
      <c r="L226" t="s">
        <v>21</v>
      </c>
      <c r="M226" s="4">
        <v>8.0000000000000002E-3</v>
      </c>
      <c r="N226" s="5">
        <f t="shared" si="11"/>
        <v>222.51503999999997</v>
      </c>
      <c r="O226" t="s">
        <v>79</v>
      </c>
    </row>
    <row r="227" spans="1:15" x14ac:dyDescent="0.3">
      <c r="A227" t="s">
        <v>301</v>
      </c>
      <c r="B227" s="1">
        <v>46132.447916666664</v>
      </c>
      <c r="C227" t="str">
        <f t="shared" si="9"/>
        <v>2026-04</v>
      </c>
      <c r="D227" t="s">
        <v>16</v>
      </c>
      <c r="E227" t="s">
        <v>17</v>
      </c>
      <c r="F227" t="s">
        <v>63</v>
      </c>
      <c r="G227" t="s">
        <v>88</v>
      </c>
      <c r="H227" t="s">
        <v>85</v>
      </c>
      <c r="I227" s="2">
        <v>177.9</v>
      </c>
      <c r="J227" s="2">
        <v>252.9</v>
      </c>
      <c r="K227" s="3">
        <f t="shared" si="10"/>
        <v>44.990910000000007</v>
      </c>
      <c r="L227" t="s">
        <v>21</v>
      </c>
      <c r="M227" s="4">
        <v>0.01</v>
      </c>
      <c r="N227" s="5">
        <f t="shared" si="11"/>
        <v>449.90910000000008</v>
      </c>
      <c r="O227" t="s">
        <v>33</v>
      </c>
    </row>
    <row r="228" spans="1:15" x14ac:dyDescent="0.3">
      <c r="A228" t="s">
        <v>302</v>
      </c>
      <c r="B228" s="1">
        <v>46141.427083333336</v>
      </c>
      <c r="C228" t="str">
        <f t="shared" si="9"/>
        <v>2026-04</v>
      </c>
      <c r="D228" t="s">
        <v>69</v>
      </c>
      <c r="E228" t="s">
        <v>47</v>
      </c>
      <c r="F228" t="s">
        <v>25</v>
      </c>
      <c r="G228" t="s">
        <v>26</v>
      </c>
      <c r="H228" t="s">
        <v>49</v>
      </c>
      <c r="I228" s="2">
        <v>123.9</v>
      </c>
      <c r="J228" s="2">
        <v>123.2</v>
      </c>
      <c r="K228" s="3">
        <f t="shared" si="10"/>
        <v>15.264480000000001</v>
      </c>
      <c r="L228" t="s">
        <v>21</v>
      </c>
      <c r="M228" s="4">
        <v>1.2E-2</v>
      </c>
      <c r="N228" s="5">
        <f t="shared" si="11"/>
        <v>183.17376000000002</v>
      </c>
      <c r="O228" t="s">
        <v>44</v>
      </c>
    </row>
    <row r="229" spans="1:15" x14ac:dyDescent="0.3">
      <c r="A229" t="s">
        <v>303</v>
      </c>
      <c r="B229" s="1">
        <v>46123.354166666664</v>
      </c>
      <c r="C229" t="str">
        <f t="shared" si="9"/>
        <v>2026-04</v>
      </c>
      <c r="D229" t="s">
        <v>73</v>
      </c>
      <c r="E229" t="s">
        <v>41</v>
      </c>
      <c r="F229" t="s">
        <v>37</v>
      </c>
      <c r="G229" t="s">
        <v>76</v>
      </c>
      <c r="H229" t="s">
        <v>81</v>
      </c>
      <c r="I229" s="2">
        <v>65.5</v>
      </c>
      <c r="J229" s="2">
        <v>163.5</v>
      </c>
      <c r="K229" s="3">
        <f t="shared" si="10"/>
        <v>10.709250000000001</v>
      </c>
      <c r="L229" t="s">
        <v>43</v>
      </c>
      <c r="M229" s="4">
        <v>1.4999999999999999E-2</v>
      </c>
      <c r="N229" s="5">
        <f t="shared" si="11"/>
        <v>0</v>
      </c>
      <c r="O229" t="s">
        <v>22</v>
      </c>
    </row>
    <row r="230" spans="1:15" x14ac:dyDescent="0.3">
      <c r="A230" t="s">
        <v>304</v>
      </c>
      <c r="B230" s="1">
        <v>46120.71875</v>
      </c>
      <c r="C230" t="str">
        <f t="shared" si="9"/>
        <v>2026-04</v>
      </c>
      <c r="D230" t="s">
        <v>24</v>
      </c>
      <c r="E230" t="s">
        <v>29</v>
      </c>
      <c r="F230" t="s">
        <v>25</v>
      </c>
      <c r="G230" t="s">
        <v>67</v>
      </c>
      <c r="H230" t="s">
        <v>32</v>
      </c>
      <c r="I230" s="2">
        <v>47.4</v>
      </c>
      <c r="J230" s="2">
        <v>67.7</v>
      </c>
      <c r="K230" s="3">
        <f t="shared" si="10"/>
        <v>3.2089799999999999</v>
      </c>
      <c r="L230" t="s">
        <v>55</v>
      </c>
      <c r="M230" s="4">
        <v>1.2E-2</v>
      </c>
      <c r="N230" s="5">
        <f t="shared" si="11"/>
        <v>0</v>
      </c>
      <c r="O230" t="s">
        <v>79</v>
      </c>
    </row>
    <row r="231" spans="1:15" x14ac:dyDescent="0.3">
      <c r="A231" t="s">
        <v>305</v>
      </c>
      <c r="B231" s="1">
        <v>46117.489583333336</v>
      </c>
      <c r="C231" t="str">
        <f t="shared" si="9"/>
        <v>2026-04</v>
      </c>
      <c r="D231" t="s">
        <v>46</v>
      </c>
      <c r="E231" t="s">
        <v>47</v>
      </c>
      <c r="F231" t="s">
        <v>18</v>
      </c>
      <c r="G231" t="s">
        <v>19</v>
      </c>
      <c r="H231" t="s">
        <v>85</v>
      </c>
      <c r="I231" s="2">
        <v>464.5</v>
      </c>
      <c r="J231" s="2">
        <v>94.8</v>
      </c>
      <c r="K231" s="3">
        <f t="shared" si="10"/>
        <v>44.034599999999998</v>
      </c>
      <c r="L231" t="s">
        <v>21</v>
      </c>
      <c r="M231" s="4">
        <v>1.4999999999999999E-2</v>
      </c>
      <c r="N231" s="5">
        <f t="shared" si="11"/>
        <v>660.51900000000001</v>
      </c>
      <c r="O231" t="s">
        <v>79</v>
      </c>
    </row>
    <row r="232" spans="1:15" x14ac:dyDescent="0.3">
      <c r="A232" t="s">
        <v>306</v>
      </c>
      <c r="B232" s="1">
        <v>46121.59375</v>
      </c>
      <c r="C232" t="str">
        <f t="shared" si="9"/>
        <v>2026-04</v>
      </c>
      <c r="D232" t="s">
        <v>24</v>
      </c>
      <c r="E232" t="s">
        <v>41</v>
      </c>
      <c r="F232" t="s">
        <v>18</v>
      </c>
      <c r="G232" t="s">
        <v>48</v>
      </c>
      <c r="H232" t="s">
        <v>85</v>
      </c>
      <c r="I232" s="2">
        <v>461.3</v>
      </c>
      <c r="J232" s="2">
        <v>147.69999999999999</v>
      </c>
      <c r="K232" s="3">
        <f t="shared" si="10"/>
        <v>68.134009999999989</v>
      </c>
      <c r="L232" t="s">
        <v>21</v>
      </c>
      <c r="M232" s="4">
        <v>1.2E-2</v>
      </c>
      <c r="N232" s="5">
        <f t="shared" si="11"/>
        <v>817.60811999999999</v>
      </c>
      <c r="O232" t="s">
        <v>33</v>
      </c>
    </row>
    <row r="233" spans="1:15" x14ac:dyDescent="0.3">
      <c r="A233" t="s">
        <v>307</v>
      </c>
      <c r="B233" s="1">
        <v>46113.4375</v>
      </c>
      <c r="C233" t="str">
        <f t="shared" si="9"/>
        <v>2026-04</v>
      </c>
      <c r="D233" t="s">
        <v>51</v>
      </c>
      <c r="E233" t="s">
        <v>17</v>
      </c>
      <c r="F233" t="s">
        <v>63</v>
      </c>
      <c r="G233" t="s">
        <v>64</v>
      </c>
      <c r="H233" t="s">
        <v>20</v>
      </c>
      <c r="I233" s="2">
        <v>156.80000000000001</v>
      </c>
      <c r="J233" s="2">
        <v>95.2</v>
      </c>
      <c r="K233" s="3">
        <f t="shared" si="10"/>
        <v>14.927360000000002</v>
      </c>
      <c r="L233" t="s">
        <v>21</v>
      </c>
      <c r="M233" s="4">
        <v>0.02</v>
      </c>
      <c r="N233" s="5">
        <f t="shared" si="11"/>
        <v>298.54720000000009</v>
      </c>
      <c r="O233" t="s">
        <v>79</v>
      </c>
    </row>
    <row r="234" spans="1:15" x14ac:dyDescent="0.3">
      <c r="A234" t="s">
        <v>308</v>
      </c>
      <c r="B234" s="1">
        <v>46139.40625</v>
      </c>
      <c r="C234" t="str">
        <f t="shared" si="9"/>
        <v>2026-04</v>
      </c>
      <c r="D234" t="s">
        <v>73</v>
      </c>
      <c r="E234" t="s">
        <v>41</v>
      </c>
      <c r="F234" t="s">
        <v>63</v>
      </c>
      <c r="G234" t="s">
        <v>67</v>
      </c>
      <c r="H234" t="s">
        <v>71</v>
      </c>
      <c r="I234" s="2">
        <v>206.1</v>
      </c>
      <c r="J234" s="2">
        <v>277.10000000000002</v>
      </c>
      <c r="K234" s="3">
        <f t="shared" si="10"/>
        <v>57.110310000000005</v>
      </c>
      <c r="L234" t="s">
        <v>78</v>
      </c>
      <c r="M234" s="4">
        <v>0.01</v>
      </c>
      <c r="N234" s="5">
        <f t="shared" si="11"/>
        <v>0</v>
      </c>
      <c r="O234" t="s">
        <v>39</v>
      </c>
    </row>
    <row r="235" spans="1:15" x14ac:dyDescent="0.3">
      <c r="A235" t="s">
        <v>309</v>
      </c>
      <c r="B235" s="1">
        <v>46141.333333333336</v>
      </c>
      <c r="C235" t="str">
        <f t="shared" si="9"/>
        <v>2026-04</v>
      </c>
      <c r="D235" t="s">
        <v>69</v>
      </c>
      <c r="E235" t="s">
        <v>36</v>
      </c>
      <c r="F235" t="s">
        <v>30</v>
      </c>
      <c r="G235" t="s">
        <v>42</v>
      </c>
      <c r="H235" t="s">
        <v>85</v>
      </c>
      <c r="I235" s="2">
        <v>123.3</v>
      </c>
      <c r="J235" s="2">
        <v>43.4</v>
      </c>
      <c r="K235" s="3">
        <f t="shared" si="10"/>
        <v>5.3512199999999996</v>
      </c>
      <c r="L235" t="s">
        <v>43</v>
      </c>
      <c r="M235" s="4">
        <v>1.4999999999999999E-2</v>
      </c>
      <c r="N235" s="5">
        <f t="shared" si="11"/>
        <v>0</v>
      </c>
      <c r="O235" t="s">
        <v>22</v>
      </c>
    </row>
    <row r="236" spans="1:15" x14ac:dyDescent="0.3">
      <c r="A236" t="s">
        <v>310</v>
      </c>
      <c r="B236" s="1">
        <v>46121.6875</v>
      </c>
      <c r="C236" t="str">
        <f t="shared" si="9"/>
        <v>2026-04</v>
      </c>
      <c r="D236" t="s">
        <v>24</v>
      </c>
      <c r="E236" t="s">
        <v>47</v>
      </c>
      <c r="F236" t="s">
        <v>18</v>
      </c>
      <c r="G236" t="s">
        <v>48</v>
      </c>
      <c r="H236" t="s">
        <v>27</v>
      </c>
      <c r="I236" s="2">
        <v>181</v>
      </c>
      <c r="J236" s="2">
        <v>180.4</v>
      </c>
      <c r="K236" s="3">
        <f t="shared" si="10"/>
        <v>32.6524</v>
      </c>
      <c r="L236" t="s">
        <v>78</v>
      </c>
      <c r="M236" s="4">
        <v>0.02</v>
      </c>
      <c r="N236" s="5">
        <f t="shared" si="11"/>
        <v>0</v>
      </c>
      <c r="O236" t="s">
        <v>39</v>
      </c>
    </row>
    <row r="237" spans="1:15" x14ac:dyDescent="0.3">
      <c r="A237" t="s">
        <v>311</v>
      </c>
      <c r="B237" s="1">
        <v>46123.34375</v>
      </c>
      <c r="C237" t="str">
        <f t="shared" si="9"/>
        <v>2026-04</v>
      </c>
      <c r="D237" t="s">
        <v>107</v>
      </c>
      <c r="E237" t="s">
        <v>29</v>
      </c>
      <c r="F237" t="s">
        <v>52</v>
      </c>
      <c r="G237" t="s">
        <v>53</v>
      </c>
      <c r="H237" t="s">
        <v>65</v>
      </c>
      <c r="I237" s="2">
        <v>146.1</v>
      </c>
      <c r="J237" s="2">
        <v>117.3</v>
      </c>
      <c r="K237" s="3">
        <f t="shared" si="10"/>
        <v>17.137529999999998</v>
      </c>
      <c r="L237" t="s">
        <v>78</v>
      </c>
      <c r="M237" s="4">
        <v>8.0000000000000002E-3</v>
      </c>
      <c r="N237" s="5">
        <f t="shared" si="11"/>
        <v>0</v>
      </c>
      <c r="O237" t="s">
        <v>39</v>
      </c>
    </row>
    <row r="238" spans="1:15" x14ac:dyDescent="0.3">
      <c r="A238" t="s">
        <v>312</v>
      </c>
      <c r="B238" s="1">
        <v>46130.625</v>
      </c>
      <c r="C238" t="str">
        <f t="shared" si="9"/>
        <v>2026-04</v>
      </c>
      <c r="D238" t="s">
        <v>16</v>
      </c>
      <c r="E238" t="s">
        <v>41</v>
      </c>
      <c r="F238" t="s">
        <v>63</v>
      </c>
      <c r="G238" t="s">
        <v>67</v>
      </c>
      <c r="H238" t="s">
        <v>20</v>
      </c>
      <c r="I238" s="2">
        <v>81.7</v>
      </c>
      <c r="J238" s="2">
        <v>200.8</v>
      </c>
      <c r="K238" s="3">
        <f t="shared" si="10"/>
        <v>16.405360000000002</v>
      </c>
      <c r="L238" t="s">
        <v>21</v>
      </c>
      <c r="M238" s="4">
        <v>0.01</v>
      </c>
      <c r="N238" s="5">
        <f t="shared" si="11"/>
        <v>164.05360000000002</v>
      </c>
      <c r="O238" t="s">
        <v>33</v>
      </c>
    </row>
    <row r="239" spans="1:15" x14ac:dyDescent="0.3">
      <c r="A239" t="s">
        <v>313</v>
      </c>
      <c r="B239" s="1">
        <v>46133.645833333336</v>
      </c>
      <c r="C239" t="str">
        <f t="shared" si="9"/>
        <v>2026-04</v>
      </c>
      <c r="D239" t="s">
        <v>73</v>
      </c>
      <c r="E239" t="s">
        <v>29</v>
      </c>
      <c r="F239" t="s">
        <v>37</v>
      </c>
      <c r="G239" t="s">
        <v>70</v>
      </c>
      <c r="H239" t="s">
        <v>54</v>
      </c>
      <c r="I239" s="2">
        <v>72.2</v>
      </c>
      <c r="J239" s="2">
        <v>144.19999999999999</v>
      </c>
      <c r="K239" s="3">
        <f t="shared" si="10"/>
        <v>10.411239999999999</v>
      </c>
      <c r="L239" t="s">
        <v>21</v>
      </c>
      <c r="M239" s="4">
        <v>0.01</v>
      </c>
      <c r="N239" s="5">
        <f t="shared" si="11"/>
        <v>104.11239999999999</v>
      </c>
      <c r="O239" t="s">
        <v>22</v>
      </c>
    </row>
    <row r="240" spans="1:15" x14ac:dyDescent="0.3">
      <c r="A240" t="s">
        <v>314</v>
      </c>
      <c r="B240" s="1">
        <v>46127.739583333336</v>
      </c>
      <c r="C240" t="str">
        <f t="shared" si="9"/>
        <v>2026-04</v>
      </c>
      <c r="D240" t="s">
        <v>51</v>
      </c>
      <c r="E240" t="s">
        <v>29</v>
      </c>
      <c r="F240" t="s">
        <v>37</v>
      </c>
      <c r="G240" t="s">
        <v>156</v>
      </c>
      <c r="H240" t="s">
        <v>85</v>
      </c>
      <c r="I240" s="2">
        <v>151.9</v>
      </c>
      <c r="J240" s="2">
        <v>219</v>
      </c>
      <c r="K240" s="3">
        <f t="shared" si="10"/>
        <v>33.266100000000002</v>
      </c>
      <c r="L240" t="s">
        <v>55</v>
      </c>
      <c r="M240" s="4">
        <v>0.02</v>
      </c>
      <c r="N240" s="5">
        <f t="shared" si="11"/>
        <v>0</v>
      </c>
      <c r="O240" t="s">
        <v>33</v>
      </c>
    </row>
    <row r="241" spans="1:15" x14ac:dyDescent="0.3">
      <c r="A241" t="s">
        <v>315</v>
      </c>
      <c r="B241" s="1">
        <v>46120.34375</v>
      </c>
      <c r="C241" t="str">
        <f t="shared" si="9"/>
        <v>2026-04</v>
      </c>
      <c r="D241" t="s">
        <v>24</v>
      </c>
      <c r="E241" t="s">
        <v>47</v>
      </c>
      <c r="F241" t="s">
        <v>25</v>
      </c>
      <c r="G241" t="s">
        <v>64</v>
      </c>
      <c r="H241" t="s">
        <v>27</v>
      </c>
      <c r="I241" s="2">
        <v>58.9</v>
      </c>
      <c r="J241" s="2">
        <v>92.7</v>
      </c>
      <c r="K241" s="3">
        <f t="shared" si="10"/>
        <v>5.4600299999999997</v>
      </c>
      <c r="L241" t="s">
        <v>78</v>
      </c>
      <c r="M241" s="4">
        <v>8.0000000000000002E-3</v>
      </c>
      <c r="N241" s="5">
        <f t="shared" si="11"/>
        <v>0</v>
      </c>
      <c r="O241" t="s">
        <v>39</v>
      </c>
    </row>
    <row r="242" spans="1:15" x14ac:dyDescent="0.3">
      <c r="A242" t="s">
        <v>316</v>
      </c>
      <c r="B242" s="1">
        <v>46156.333333333336</v>
      </c>
      <c r="C242" t="str">
        <f t="shared" si="9"/>
        <v>2026-05</v>
      </c>
      <c r="D242" t="s">
        <v>46</v>
      </c>
      <c r="E242" t="s">
        <v>36</v>
      </c>
      <c r="F242" t="s">
        <v>63</v>
      </c>
      <c r="G242" t="s">
        <v>88</v>
      </c>
      <c r="H242" t="s">
        <v>59</v>
      </c>
      <c r="I242" s="2">
        <v>105.9</v>
      </c>
      <c r="J242" s="2">
        <v>251.1</v>
      </c>
      <c r="K242" s="3">
        <f t="shared" si="10"/>
        <v>26.59149</v>
      </c>
      <c r="L242" t="s">
        <v>21</v>
      </c>
      <c r="M242" s="4">
        <v>0.02</v>
      </c>
      <c r="N242" s="5">
        <f t="shared" si="11"/>
        <v>531.82979999999998</v>
      </c>
      <c r="O242" t="s">
        <v>22</v>
      </c>
    </row>
    <row r="243" spans="1:15" x14ac:dyDescent="0.3">
      <c r="A243" t="s">
        <v>317</v>
      </c>
      <c r="B243" s="1">
        <v>46161.75</v>
      </c>
      <c r="C243" t="str">
        <f t="shared" si="9"/>
        <v>2026-05</v>
      </c>
      <c r="D243" t="s">
        <v>107</v>
      </c>
      <c r="E243" t="s">
        <v>47</v>
      </c>
      <c r="F243" t="s">
        <v>37</v>
      </c>
      <c r="G243" t="s">
        <v>156</v>
      </c>
      <c r="H243" t="s">
        <v>81</v>
      </c>
      <c r="I243" s="2">
        <v>179.4</v>
      </c>
      <c r="J243" s="2">
        <v>137.19999999999999</v>
      </c>
      <c r="K243" s="3">
        <f t="shared" si="10"/>
        <v>24.613679999999999</v>
      </c>
      <c r="L243" t="s">
        <v>21</v>
      </c>
      <c r="M243" s="4">
        <v>1.2E-2</v>
      </c>
      <c r="N243" s="5">
        <f t="shared" si="11"/>
        <v>295.36415999999997</v>
      </c>
      <c r="O243" t="s">
        <v>79</v>
      </c>
    </row>
    <row r="244" spans="1:15" x14ac:dyDescent="0.3">
      <c r="A244" t="s">
        <v>318</v>
      </c>
      <c r="B244" s="1">
        <v>46165.520833333336</v>
      </c>
      <c r="C244" t="str">
        <f t="shared" si="9"/>
        <v>2026-05</v>
      </c>
      <c r="D244" t="s">
        <v>46</v>
      </c>
      <c r="E244" t="s">
        <v>41</v>
      </c>
      <c r="F244" t="s">
        <v>52</v>
      </c>
      <c r="G244" t="s">
        <v>53</v>
      </c>
      <c r="H244" t="s">
        <v>32</v>
      </c>
      <c r="I244" s="2">
        <v>173.2</v>
      </c>
      <c r="J244" s="2">
        <v>148.69999999999999</v>
      </c>
      <c r="K244" s="3">
        <f t="shared" si="10"/>
        <v>25.754839999999998</v>
      </c>
      <c r="L244" t="s">
        <v>55</v>
      </c>
      <c r="M244" s="4">
        <v>0.01</v>
      </c>
      <c r="N244" s="5">
        <f t="shared" si="11"/>
        <v>0</v>
      </c>
      <c r="O244" t="s">
        <v>22</v>
      </c>
    </row>
    <row r="245" spans="1:15" x14ac:dyDescent="0.3">
      <c r="A245" t="s">
        <v>319</v>
      </c>
      <c r="B245" s="1">
        <v>46165.5</v>
      </c>
      <c r="C245" t="str">
        <f t="shared" si="9"/>
        <v>2026-05</v>
      </c>
      <c r="D245" t="s">
        <v>73</v>
      </c>
      <c r="E245" t="s">
        <v>41</v>
      </c>
      <c r="F245" t="s">
        <v>25</v>
      </c>
      <c r="G245" t="s">
        <v>67</v>
      </c>
      <c r="H245" t="s">
        <v>65</v>
      </c>
      <c r="I245" s="2">
        <v>97.7</v>
      </c>
      <c r="J245" s="2">
        <v>64.900000000000006</v>
      </c>
      <c r="K245" s="3">
        <f t="shared" si="10"/>
        <v>6.3407300000000006</v>
      </c>
      <c r="L245" t="s">
        <v>21</v>
      </c>
      <c r="M245" s="4">
        <v>1.4999999999999999E-2</v>
      </c>
      <c r="N245" s="5">
        <f t="shared" si="11"/>
        <v>95.110950000000003</v>
      </c>
      <c r="O245" t="s">
        <v>79</v>
      </c>
    </row>
    <row r="246" spans="1:15" x14ac:dyDescent="0.3">
      <c r="A246" t="s">
        <v>320</v>
      </c>
      <c r="B246" s="1">
        <v>46156.395833333336</v>
      </c>
      <c r="C246" t="str">
        <f t="shared" si="9"/>
        <v>2026-05</v>
      </c>
      <c r="D246" t="s">
        <v>24</v>
      </c>
      <c r="E246" t="s">
        <v>36</v>
      </c>
      <c r="F246" t="s">
        <v>25</v>
      </c>
      <c r="G246" t="s">
        <v>102</v>
      </c>
      <c r="H246" t="s">
        <v>81</v>
      </c>
      <c r="I246" s="2">
        <v>103.7</v>
      </c>
      <c r="J246" s="2">
        <v>120.3</v>
      </c>
      <c r="K246" s="3">
        <f t="shared" si="10"/>
        <v>12.475110000000001</v>
      </c>
      <c r="L246" t="s">
        <v>43</v>
      </c>
      <c r="M246" s="4">
        <v>0.02</v>
      </c>
      <c r="N246" s="5">
        <f t="shared" si="11"/>
        <v>0</v>
      </c>
      <c r="O246" t="s">
        <v>22</v>
      </c>
    </row>
    <row r="247" spans="1:15" x14ac:dyDescent="0.3">
      <c r="A247" t="s">
        <v>321</v>
      </c>
      <c r="B247" s="1">
        <v>46150.447916666664</v>
      </c>
      <c r="C247" t="str">
        <f t="shared" si="9"/>
        <v>2026-05</v>
      </c>
      <c r="D247" t="s">
        <v>51</v>
      </c>
      <c r="E247" t="s">
        <v>29</v>
      </c>
      <c r="F247" t="s">
        <v>25</v>
      </c>
      <c r="G247" t="s">
        <v>26</v>
      </c>
      <c r="H247" t="s">
        <v>81</v>
      </c>
      <c r="I247" s="2">
        <v>94.6</v>
      </c>
      <c r="J247" s="2">
        <v>83.4</v>
      </c>
      <c r="K247" s="3">
        <f t="shared" si="10"/>
        <v>7.88964</v>
      </c>
      <c r="L247" t="s">
        <v>21</v>
      </c>
      <c r="M247" s="4">
        <v>8.0000000000000002E-3</v>
      </c>
      <c r="N247" s="5">
        <f t="shared" si="11"/>
        <v>63.11712</v>
      </c>
      <c r="O247" t="s">
        <v>44</v>
      </c>
    </row>
    <row r="248" spans="1:15" x14ac:dyDescent="0.3">
      <c r="A248" t="s">
        <v>322</v>
      </c>
      <c r="B248" s="1">
        <v>46160.479166666664</v>
      </c>
      <c r="C248" t="str">
        <f t="shared" si="9"/>
        <v>2026-05</v>
      </c>
      <c r="D248" t="s">
        <v>107</v>
      </c>
      <c r="E248" t="s">
        <v>47</v>
      </c>
      <c r="F248" t="s">
        <v>63</v>
      </c>
      <c r="G248" t="s">
        <v>64</v>
      </c>
      <c r="H248" t="s">
        <v>20</v>
      </c>
      <c r="I248" s="2">
        <v>92</v>
      </c>
      <c r="J248" s="2">
        <v>101.2</v>
      </c>
      <c r="K248" s="3">
        <f t="shared" si="10"/>
        <v>9.3103999999999996</v>
      </c>
      <c r="L248" t="s">
        <v>21</v>
      </c>
      <c r="M248" s="4">
        <v>0.01</v>
      </c>
      <c r="N248" s="5">
        <f t="shared" si="11"/>
        <v>93.103999999999999</v>
      </c>
      <c r="O248" t="s">
        <v>33</v>
      </c>
    </row>
    <row r="249" spans="1:15" x14ac:dyDescent="0.3">
      <c r="A249" t="s">
        <v>323</v>
      </c>
      <c r="B249" s="1">
        <v>46157.385416666664</v>
      </c>
      <c r="C249" t="str">
        <f t="shared" si="9"/>
        <v>2026-05</v>
      </c>
      <c r="D249" t="s">
        <v>51</v>
      </c>
      <c r="E249" t="s">
        <v>17</v>
      </c>
      <c r="F249" t="s">
        <v>63</v>
      </c>
      <c r="G249" t="s">
        <v>67</v>
      </c>
      <c r="H249" t="s">
        <v>59</v>
      </c>
      <c r="I249" s="2">
        <v>170.1</v>
      </c>
      <c r="J249" s="2">
        <v>240.5</v>
      </c>
      <c r="K249" s="3">
        <f t="shared" si="10"/>
        <v>40.909049999999993</v>
      </c>
      <c r="L249" t="s">
        <v>21</v>
      </c>
      <c r="M249" s="4">
        <v>1.2E-2</v>
      </c>
      <c r="N249" s="5">
        <f t="shared" si="11"/>
        <v>490.90859999999992</v>
      </c>
      <c r="O249" t="s">
        <v>39</v>
      </c>
    </row>
    <row r="250" spans="1:15" x14ac:dyDescent="0.3">
      <c r="A250" t="s">
        <v>324</v>
      </c>
      <c r="B250" s="1">
        <v>46170.708333333336</v>
      </c>
      <c r="C250" t="str">
        <f t="shared" si="9"/>
        <v>2026-05</v>
      </c>
      <c r="D250" t="s">
        <v>46</v>
      </c>
      <c r="E250" t="s">
        <v>47</v>
      </c>
      <c r="F250" t="s">
        <v>18</v>
      </c>
      <c r="G250" t="s">
        <v>19</v>
      </c>
      <c r="H250" t="s">
        <v>74</v>
      </c>
      <c r="I250" s="2">
        <v>388.6</v>
      </c>
      <c r="J250" s="2">
        <v>129.9</v>
      </c>
      <c r="K250" s="3">
        <f t="shared" si="10"/>
        <v>50.479140000000008</v>
      </c>
      <c r="L250" t="s">
        <v>78</v>
      </c>
      <c r="M250" s="4">
        <v>0.01</v>
      </c>
      <c r="N250" s="5">
        <f t="shared" si="11"/>
        <v>0</v>
      </c>
      <c r="O250" t="s">
        <v>33</v>
      </c>
    </row>
    <row r="251" spans="1:15" x14ac:dyDescent="0.3">
      <c r="A251" t="s">
        <v>325</v>
      </c>
      <c r="B251" s="1">
        <v>46165.666666666664</v>
      </c>
      <c r="C251" t="str">
        <f t="shared" si="9"/>
        <v>2026-05</v>
      </c>
      <c r="D251" t="s">
        <v>73</v>
      </c>
      <c r="E251" t="s">
        <v>17</v>
      </c>
      <c r="F251" t="s">
        <v>37</v>
      </c>
      <c r="G251" t="s">
        <v>156</v>
      </c>
      <c r="H251" t="s">
        <v>49</v>
      </c>
      <c r="I251" s="2">
        <v>71.099999999999994</v>
      </c>
      <c r="J251" s="2">
        <v>81.2</v>
      </c>
      <c r="K251" s="3">
        <f t="shared" si="10"/>
        <v>5.77332</v>
      </c>
      <c r="L251" t="s">
        <v>43</v>
      </c>
      <c r="M251" s="4">
        <v>1.4999999999999999E-2</v>
      </c>
      <c r="N251" s="5">
        <f t="shared" si="11"/>
        <v>0</v>
      </c>
      <c r="O251" t="s">
        <v>33</v>
      </c>
    </row>
    <row r="252" spans="1:15" x14ac:dyDescent="0.3">
      <c r="A252" t="s">
        <v>326</v>
      </c>
      <c r="B252" s="1">
        <v>46173.5625</v>
      </c>
      <c r="C252" t="str">
        <f t="shared" si="9"/>
        <v>2026-05</v>
      </c>
      <c r="D252" t="s">
        <v>69</v>
      </c>
      <c r="E252" t="s">
        <v>41</v>
      </c>
      <c r="F252" t="s">
        <v>63</v>
      </c>
      <c r="G252" t="s">
        <v>64</v>
      </c>
      <c r="H252" t="s">
        <v>61</v>
      </c>
      <c r="I252" s="2">
        <v>151.69999999999999</v>
      </c>
      <c r="J252" s="2">
        <v>193.3</v>
      </c>
      <c r="K252" s="3">
        <f t="shared" si="10"/>
        <v>29.323610000000002</v>
      </c>
      <c r="L252" t="s">
        <v>43</v>
      </c>
      <c r="M252" s="4">
        <v>8.0000000000000002E-3</v>
      </c>
      <c r="N252" s="5">
        <f t="shared" si="11"/>
        <v>0</v>
      </c>
      <c r="O252" t="s">
        <v>79</v>
      </c>
    </row>
    <row r="253" spans="1:15" x14ac:dyDescent="0.3">
      <c r="A253" t="s">
        <v>327</v>
      </c>
      <c r="B253" s="1">
        <v>46153.760416666664</v>
      </c>
      <c r="C253" t="str">
        <f t="shared" si="9"/>
        <v>2026-05</v>
      </c>
      <c r="D253" t="s">
        <v>51</v>
      </c>
      <c r="E253" t="s">
        <v>29</v>
      </c>
      <c r="F253" t="s">
        <v>18</v>
      </c>
      <c r="G253" t="s">
        <v>64</v>
      </c>
      <c r="H253" t="s">
        <v>20</v>
      </c>
      <c r="I253" s="2">
        <v>431</v>
      </c>
      <c r="J253" s="2">
        <v>257.10000000000002</v>
      </c>
      <c r="K253" s="3">
        <f t="shared" si="10"/>
        <v>110.81010000000001</v>
      </c>
      <c r="L253" t="s">
        <v>21</v>
      </c>
      <c r="M253" s="4">
        <v>1.4999999999999999E-2</v>
      </c>
      <c r="N253" s="5">
        <f t="shared" si="11"/>
        <v>1662.1514999999999</v>
      </c>
      <c r="O253" t="s">
        <v>39</v>
      </c>
    </row>
    <row r="254" spans="1:15" x14ac:dyDescent="0.3">
      <c r="A254" t="s">
        <v>328</v>
      </c>
      <c r="B254" s="1">
        <v>46172.541666666664</v>
      </c>
      <c r="C254" t="str">
        <f t="shared" si="9"/>
        <v>2026-05</v>
      </c>
      <c r="D254" t="s">
        <v>46</v>
      </c>
      <c r="E254" t="s">
        <v>47</v>
      </c>
      <c r="F254" t="s">
        <v>37</v>
      </c>
      <c r="G254" t="s">
        <v>70</v>
      </c>
      <c r="H254" t="s">
        <v>20</v>
      </c>
      <c r="I254" s="2">
        <v>140</v>
      </c>
      <c r="J254" s="2">
        <v>134.30000000000001</v>
      </c>
      <c r="K254" s="3">
        <f t="shared" si="10"/>
        <v>18.802</v>
      </c>
      <c r="L254" t="s">
        <v>43</v>
      </c>
      <c r="M254" s="4">
        <v>1.2E-2</v>
      </c>
      <c r="N254" s="5">
        <f t="shared" si="11"/>
        <v>0</v>
      </c>
      <c r="O254" t="s">
        <v>44</v>
      </c>
    </row>
    <row r="255" spans="1:15" x14ac:dyDescent="0.3">
      <c r="A255" t="s">
        <v>329</v>
      </c>
      <c r="B255" s="1">
        <v>46157.625</v>
      </c>
      <c r="C255" t="str">
        <f t="shared" si="9"/>
        <v>2026-05</v>
      </c>
      <c r="D255" t="s">
        <v>46</v>
      </c>
      <c r="E255" t="s">
        <v>36</v>
      </c>
      <c r="F255" t="s">
        <v>30</v>
      </c>
      <c r="G255" t="s">
        <v>139</v>
      </c>
      <c r="H255" t="s">
        <v>81</v>
      </c>
      <c r="I255" s="2">
        <v>191.3</v>
      </c>
      <c r="J255" s="2">
        <v>58.6</v>
      </c>
      <c r="K255" s="3">
        <f t="shared" si="10"/>
        <v>11.210180000000001</v>
      </c>
      <c r="L255" t="s">
        <v>55</v>
      </c>
      <c r="M255" s="4">
        <v>0.02</v>
      </c>
      <c r="N255" s="5">
        <f t="shared" si="11"/>
        <v>0</v>
      </c>
      <c r="O255" t="s">
        <v>33</v>
      </c>
    </row>
    <row r="256" spans="1:15" x14ac:dyDescent="0.3">
      <c r="A256" t="s">
        <v>330</v>
      </c>
      <c r="B256" s="1">
        <v>46166.729166666664</v>
      </c>
      <c r="C256" t="str">
        <f t="shared" si="9"/>
        <v>2026-05</v>
      </c>
      <c r="D256" t="s">
        <v>16</v>
      </c>
      <c r="E256" t="s">
        <v>29</v>
      </c>
      <c r="F256" t="s">
        <v>37</v>
      </c>
      <c r="G256" t="s">
        <v>76</v>
      </c>
      <c r="H256" t="s">
        <v>81</v>
      </c>
      <c r="I256" s="2">
        <v>125.5</v>
      </c>
      <c r="J256" s="2">
        <v>176.3</v>
      </c>
      <c r="K256" s="3">
        <f t="shared" si="10"/>
        <v>22.12565</v>
      </c>
      <c r="L256" t="s">
        <v>21</v>
      </c>
      <c r="M256" s="4">
        <v>1.4999999999999999E-2</v>
      </c>
      <c r="N256" s="5">
        <f t="shared" si="11"/>
        <v>331.88475</v>
      </c>
      <c r="O256" t="s">
        <v>22</v>
      </c>
    </row>
    <row r="257" spans="1:15" x14ac:dyDescent="0.3">
      <c r="A257" t="s">
        <v>331</v>
      </c>
      <c r="B257" s="1">
        <v>46170.697916666664</v>
      </c>
      <c r="C257" t="str">
        <f t="shared" si="9"/>
        <v>2026-05</v>
      </c>
      <c r="D257" t="s">
        <v>51</v>
      </c>
      <c r="E257" t="s">
        <v>17</v>
      </c>
      <c r="F257" t="s">
        <v>37</v>
      </c>
      <c r="G257" t="s">
        <v>38</v>
      </c>
      <c r="H257" t="s">
        <v>49</v>
      </c>
      <c r="I257" s="2">
        <v>116.8</v>
      </c>
      <c r="J257" s="2">
        <v>196.4</v>
      </c>
      <c r="K257" s="3">
        <f t="shared" si="10"/>
        <v>22.939520000000002</v>
      </c>
      <c r="L257" t="s">
        <v>55</v>
      </c>
      <c r="M257" s="4">
        <v>1.4999999999999999E-2</v>
      </c>
      <c r="N257" s="5">
        <f t="shared" si="11"/>
        <v>0</v>
      </c>
      <c r="O257" t="s">
        <v>33</v>
      </c>
    </row>
    <row r="258" spans="1:15" x14ac:dyDescent="0.3">
      <c r="A258" t="s">
        <v>332</v>
      </c>
      <c r="B258" s="1">
        <v>46165.697916666664</v>
      </c>
      <c r="C258" t="str">
        <f t="shared" si="9"/>
        <v>2026-05</v>
      </c>
      <c r="D258" t="s">
        <v>73</v>
      </c>
      <c r="E258" t="s">
        <v>29</v>
      </c>
      <c r="F258" t="s">
        <v>25</v>
      </c>
      <c r="G258" t="s">
        <v>102</v>
      </c>
      <c r="H258" t="s">
        <v>85</v>
      </c>
      <c r="I258" s="2">
        <v>104.5</v>
      </c>
      <c r="J258" s="2">
        <v>50.8</v>
      </c>
      <c r="K258" s="3">
        <f t="shared" si="10"/>
        <v>5.3085999999999993</v>
      </c>
      <c r="L258" t="s">
        <v>55</v>
      </c>
      <c r="M258" s="4">
        <v>8.0000000000000002E-3</v>
      </c>
      <c r="N258" s="5">
        <f t="shared" si="11"/>
        <v>0</v>
      </c>
      <c r="O258" t="s">
        <v>22</v>
      </c>
    </row>
    <row r="259" spans="1:15" x14ac:dyDescent="0.3">
      <c r="A259" t="s">
        <v>333</v>
      </c>
      <c r="B259" s="1">
        <v>46150.614583333336</v>
      </c>
      <c r="C259" t="str">
        <f t="shared" ref="C259:C322" si="12">TEXT(B259,"yyyy-mm")</f>
        <v>2026-05</v>
      </c>
      <c r="D259" t="s">
        <v>16</v>
      </c>
      <c r="E259" t="s">
        <v>36</v>
      </c>
      <c r="F259" t="s">
        <v>37</v>
      </c>
      <c r="G259" t="s">
        <v>156</v>
      </c>
      <c r="H259" t="s">
        <v>65</v>
      </c>
      <c r="I259" s="2">
        <v>73.599999999999994</v>
      </c>
      <c r="J259" s="2">
        <v>212.8</v>
      </c>
      <c r="K259" s="3">
        <f t="shared" ref="K259:K322" si="13">I259*J259/1000</f>
        <v>15.66208</v>
      </c>
      <c r="L259" t="s">
        <v>21</v>
      </c>
      <c r="M259" s="4">
        <v>0.02</v>
      </c>
      <c r="N259" s="5">
        <f t="shared" ref="N259:N322" si="14">IF(L259="Đã bán",K259*M259*1000,0)</f>
        <v>313.24160000000001</v>
      </c>
      <c r="O259" t="s">
        <v>39</v>
      </c>
    </row>
    <row r="260" spans="1:15" x14ac:dyDescent="0.3">
      <c r="A260" t="s">
        <v>334</v>
      </c>
      <c r="B260" s="1">
        <v>46159.395833333336</v>
      </c>
      <c r="C260" t="str">
        <f t="shared" si="12"/>
        <v>2026-05</v>
      </c>
      <c r="D260" t="s">
        <v>51</v>
      </c>
      <c r="E260" t="s">
        <v>29</v>
      </c>
      <c r="F260" t="s">
        <v>37</v>
      </c>
      <c r="G260" t="s">
        <v>76</v>
      </c>
      <c r="H260" t="s">
        <v>61</v>
      </c>
      <c r="I260" s="2">
        <v>124.4</v>
      </c>
      <c r="J260" s="2">
        <v>138.69999999999999</v>
      </c>
      <c r="K260" s="3">
        <f t="shared" si="13"/>
        <v>17.254279999999998</v>
      </c>
      <c r="L260" t="s">
        <v>43</v>
      </c>
      <c r="M260" s="4">
        <v>1.2E-2</v>
      </c>
      <c r="N260" s="5">
        <f t="shared" si="14"/>
        <v>0</v>
      </c>
      <c r="O260" t="s">
        <v>33</v>
      </c>
    </row>
    <row r="261" spans="1:15" x14ac:dyDescent="0.3">
      <c r="A261" t="s">
        <v>335</v>
      </c>
      <c r="B261" s="1">
        <v>46157.760416666664</v>
      </c>
      <c r="C261" t="str">
        <f t="shared" si="12"/>
        <v>2026-05</v>
      </c>
      <c r="D261" t="s">
        <v>35</v>
      </c>
      <c r="E261" t="s">
        <v>29</v>
      </c>
      <c r="F261" t="s">
        <v>18</v>
      </c>
      <c r="G261" t="s">
        <v>64</v>
      </c>
      <c r="H261" t="s">
        <v>27</v>
      </c>
      <c r="I261" s="2">
        <v>296.2</v>
      </c>
      <c r="J261" s="2">
        <v>149.19999999999999</v>
      </c>
      <c r="K261" s="3">
        <f t="shared" si="13"/>
        <v>44.193039999999996</v>
      </c>
      <c r="L261" t="s">
        <v>78</v>
      </c>
      <c r="M261" s="4">
        <v>1.2E-2</v>
      </c>
      <c r="N261" s="5">
        <f t="shared" si="14"/>
        <v>0</v>
      </c>
      <c r="O261" t="s">
        <v>44</v>
      </c>
    </row>
    <row r="262" spans="1:15" x14ac:dyDescent="0.3">
      <c r="A262" t="s">
        <v>336</v>
      </c>
      <c r="B262" s="1">
        <v>46148.53125</v>
      </c>
      <c r="C262" t="str">
        <f t="shared" si="12"/>
        <v>2026-05</v>
      </c>
      <c r="D262" t="s">
        <v>35</v>
      </c>
      <c r="E262" t="s">
        <v>47</v>
      </c>
      <c r="F262" t="s">
        <v>25</v>
      </c>
      <c r="G262" t="s">
        <v>102</v>
      </c>
      <c r="H262" t="s">
        <v>65</v>
      </c>
      <c r="I262" s="2">
        <v>110.6</v>
      </c>
      <c r="J262" s="2">
        <v>48.2</v>
      </c>
      <c r="K262" s="3">
        <f t="shared" si="13"/>
        <v>5.3309199999999999</v>
      </c>
      <c r="L262" t="s">
        <v>21</v>
      </c>
      <c r="M262" s="4">
        <v>1.2E-2</v>
      </c>
      <c r="N262" s="5">
        <f t="shared" si="14"/>
        <v>63.971040000000009</v>
      </c>
      <c r="O262" t="s">
        <v>33</v>
      </c>
    </row>
    <row r="263" spans="1:15" x14ac:dyDescent="0.3">
      <c r="A263" t="s">
        <v>337</v>
      </c>
      <c r="B263" s="1">
        <v>46171.489583333336</v>
      </c>
      <c r="C263" t="str">
        <f t="shared" si="12"/>
        <v>2026-05</v>
      </c>
      <c r="D263" t="s">
        <v>51</v>
      </c>
      <c r="E263" t="s">
        <v>17</v>
      </c>
      <c r="F263" t="s">
        <v>37</v>
      </c>
      <c r="G263" t="s">
        <v>156</v>
      </c>
      <c r="H263" t="s">
        <v>59</v>
      </c>
      <c r="I263" s="2">
        <v>100.6</v>
      </c>
      <c r="J263" s="2">
        <v>114.3</v>
      </c>
      <c r="K263" s="3">
        <f t="shared" si="13"/>
        <v>11.49858</v>
      </c>
      <c r="L263" t="s">
        <v>43</v>
      </c>
      <c r="M263" s="4">
        <v>8.0000000000000002E-3</v>
      </c>
      <c r="N263" s="5">
        <f t="shared" si="14"/>
        <v>0</v>
      </c>
      <c r="O263" t="s">
        <v>33</v>
      </c>
    </row>
    <row r="264" spans="1:15" x14ac:dyDescent="0.3">
      <c r="A264" t="s">
        <v>338</v>
      </c>
      <c r="B264" s="1">
        <v>46168.65625</v>
      </c>
      <c r="C264" t="str">
        <f t="shared" si="12"/>
        <v>2026-05</v>
      </c>
      <c r="D264" t="s">
        <v>69</v>
      </c>
      <c r="E264" t="s">
        <v>29</v>
      </c>
      <c r="F264" t="s">
        <v>18</v>
      </c>
      <c r="G264" t="s">
        <v>84</v>
      </c>
      <c r="H264" t="s">
        <v>81</v>
      </c>
      <c r="I264" s="2">
        <v>336</v>
      </c>
      <c r="J264" s="2">
        <v>146</v>
      </c>
      <c r="K264" s="3">
        <f t="shared" si="13"/>
        <v>49.055999999999997</v>
      </c>
      <c r="L264" t="s">
        <v>21</v>
      </c>
      <c r="M264" s="4">
        <v>0.02</v>
      </c>
      <c r="N264" s="5">
        <f t="shared" si="14"/>
        <v>981.12</v>
      </c>
      <c r="O264" t="s">
        <v>44</v>
      </c>
    </row>
    <row r="265" spans="1:15" x14ac:dyDescent="0.3">
      <c r="A265" t="s">
        <v>339</v>
      </c>
      <c r="B265" s="1">
        <v>46146.479166666664</v>
      </c>
      <c r="C265" t="str">
        <f t="shared" si="12"/>
        <v>2026-05</v>
      </c>
      <c r="D265" t="s">
        <v>24</v>
      </c>
      <c r="E265" t="s">
        <v>29</v>
      </c>
      <c r="F265" t="s">
        <v>30</v>
      </c>
      <c r="G265" t="s">
        <v>133</v>
      </c>
      <c r="H265" t="s">
        <v>61</v>
      </c>
      <c r="I265" s="2">
        <v>182</v>
      </c>
      <c r="J265" s="2">
        <v>20.9</v>
      </c>
      <c r="K265" s="3">
        <f t="shared" si="13"/>
        <v>3.8037999999999998</v>
      </c>
      <c r="L265" t="s">
        <v>55</v>
      </c>
      <c r="M265" s="4">
        <v>1.4999999999999999E-2</v>
      </c>
      <c r="N265" s="5">
        <f t="shared" si="14"/>
        <v>0</v>
      </c>
      <c r="O265" t="s">
        <v>22</v>
      </c>
    </row>
    <row r="266" spans="1:15" x14ac:dyDescent="0.3">
      <c r="A266" t="s">
        <v>340</v>
      </c>
      <c r="B266" s="1">
        <v>46147.677083333336</v>
      </c>
      <c r="C266" t="str">
        <f t="shared" si="12"/>
        <v>2026-05</v>
      </c>
      <c r="D266" t="s">
        <v>51</v>
      </c>
      <c r="E266" t="s">
        <v>36</v>
      </c>
      <c r="F266" t="s">
        <v>25</v>
      </c>
      <c r="G266" t="s">
        <v>102</v>
      </c>
      <c r="H266" t="s">
        <v>85</v>
      </c>
      <c r="I266" s="2">
        <v>48.2</v>
      </c>
      <c r="J266" s="2">
        <v>53.7</v>
      </c>
      <c r="K266" s="3">
        <f t="shared" si="13"/>
        <v>2.5883400000000001</v>
      </c>
      <c r="L266" t="s">
        <v>21</v>
      </c>
      <c r="M266" s="4">
        <v>0.02</v>
      </c>
      <c r="N266" s="5">
        <f t="shared" si="14"/>
        <v>51.766800000000003</v>
      </c>
      <c r="O266" t="s">
        <v>33</v>
      </c>
    </row>
    <row r="267" spans="1:15" x14ac:dyDescent="0.3">
      <c r="A267" t="s">
        <v>341</v>
      </c>
      <c r="B267" s="1">
        <v>46161.489583333336</v>
      </c>
      <c r="C267" t="str">
        <f t="shared" si="12"/>
        <v>2026-05</v>
      </c>
      <c r="D267" t="s">
        <v>51</v>
      </c>
      <c r="E267" t="s">
        <v>47</v>
      </c>
      <c r="F267" t="s">
        <v>37</v>
      </c>
      <c r="G267" t="s">
        <v>156</v>
      </c>
      <c r="H267" t="s">
        <v>59</v>
      </c>
      <c r="I267" s="2">
        <v>135.69999999999999</v>
      </c>
      <c r="J267" s="2">
        <v>107.3</v>
      </c>
      <c r="K267" s="3">
        <f t="shared" si="13"/>
        <v>14.560609999999999</v>
      </c>
      <c r="L267" t="s">
        <v>21</v>
      </c>
      <c r="M267" s="4">
        <v>0.02</v>
      </c>
      <c r="N267" s="5">
        <f t="shared" si="14"/>
        <v>291.2122</v>
      </c>
      <c r="O267" t="s">
        <v>44</v>
      </c>
    </row>
    <row r="268" spans="1:15" x14ac:dyDescent="0.3">
      <c r="A268" t="s">
        <v>342</v>
      </c>
      <c r="B268" s="1">
        <v>46170.416666666664</v>
      </c>
      <c r="C268" t="str">
        <f t="shared" si="12"/>
        <v>2026-05</v>
      </c>
      <c r="D268" t="s">
        <v>35</v>
      </c>
      <c r="E268" t="s">
        <v>29</v>
      </c>
      <c r="F268" t="s">
        <v>18</v>
      </c>
      <c r="G268" t="s">
        <v>84</v>
      </c>
      <c r="H268" t="s">
        <v>71</v>
      </c>
      <c r="I268" s="2">
        <v>383.7</v>
      </c>
      <c r="J268" s="2">
        <v>170.2</v>
      </c>
      <c r="K268" s="3">
        <f t="shared" si="13"/>
        <v>65.305739999999986</v>
      </c>
      <c r="L268" t="s">
        <v>78</v>
      </c>
      <c r="M268" s="4">
        <v>0.02</v>
      </c>
      <c r="N268" s="5">
        <f t="shared" si="14"/>
        <v>0</v>
      </c>
      <c r="O268" t="s">
        <v>44</v>
      </c>
    </row>
    <row r="269" spans="1:15" x14ac:dyDescent="0.3">
      <c r="A269" t="s">
        <v>343</v>
      </c>
      <c r="B269" s="1">
        <v>46155.4375</v>
      </c>
      <c r="C269" t="str">
        <f t="shared" si="12"/>
        <v>2026-05</v>
      </c>
      <c r="D269" t="s">
        <v>24</v>
      </c>
      <c r="E269" t="s">
        <v>41</v>
      </c>
      <c r="F269" t="s">
        <v>37</v>
      </c>
      <c r="G269" t="s">
        <v>38</v>
      </c>
      <c r="H269" t="s">
        <v>54</v>
      </c>
      <c r="I269" s="2">
        <v>161.9</v>
      </c>
      <c r="J269" s="2">
        <v>117.6</v>
      </c>
      <c r="K269" s="3">
        <f t="shared" si="13"/>
        <v>19.039439999999999</v>
      </c>
      <c r="L269" t="s">
        <v>43</v>
      </c>
      <c r="M269" s="4">
        <v>1.4999999999999999E-2</v>
      </c>
      <c r="N269" s="5">
        <f t="shared" si="14"/>
        <v>0</v>
      </c>
      <c r="O269" t="s">
        <v>22</v>
      </c>
    </row>
    <row r="270" spans="1:15" x14ac:dyDescent="0.3">
      <c r="A270" t="s">
        <v>344</v>
      </c>
      <c r="B270" s="1">
        <v>46145.614583333336</v>
      </c>
      <c r="C270" t="str">
        <f t="shared" si="12"/>
        <v>2026-05</v>
      </c>
      <c r="D270" t="s">
        <v>35</v>
      </c>
      <c r="E270" t="s">
        <v>47</v>
      </c>
      <c r="F270" t="s">
        <v>30</v>
      </c>
      <c r="G270" t="s">
        <v>42</v>
      </c>
      <c r="H270" t="s">
        <v>81</v>
      </c>
      <c r="I270" s="2">
        <v>154</v>
      </c>
      <c r="J270" s="2">
        <v>64.099999999999994</v>
      </c>
      <c r="K270" s="3">
        <f t="shared" si="13"/>
        <v>9.8713999999999995</v>
      </c>
      <c r="L270" t="s">
        <v>21</v>
      </c>
      <c r="M270" s="4">
        <v>1.4999999999999999E-2</v>
      </c>
      <c r="N270" s="5">
        <f t="shared" si="14"/>
        <v>148.07099999999997</v>
      </c>
      <c r="O270" t="s">
        <v>22</v>
      </c>
    </row>
    <row r="271" spans="1:15" x14ac:dyDescent="0.3">
      <c r="A271" t="s">
        <v>345</v>
      </c>
      <c r="B271" s="1">
        <v>46157.729166666664</v>
      </c>
      <c r="C271" t="str">
        <f t="shared" si="12"/>
        <v>2026-05</v>
      </c>
      <c r="D271" t="s">
        <v>73</v>
      </c>
      <c r="E271" t="s">
        <v>29</v>
      </c>
      <c r="F271" t="s">
        <v>30</v>
      </c>
      <c r="G271" t="s">
        <v>139</v>
      </c>
      <c r="H271" t="s">
        <v>54</v>
      </c>
      <c r="I271" s="2">
        <v>161.4</v>
      </c>
      <c r="J271" s="2">
        <v>20.6</v>
      </c>
      <c r="K271" s="3">
        <f t="shared" si="13"/>
        <v>3.32484</v>
      </c>
      <c r="L271" t="s">
        <v>55</v>
      </c>
      <c r="M271" s="4">
        <v>8.0000000000000002E-3</v>
      </c>
      <c r="N271" s="5">
        <f t="shared" si="14"/>
        <v>0</v>
      </c>
      <c r="O271" t="s">
        <v>39</v>
      </c>
    </row>
    <row r="272" spans="1:15" x14ac:dyDescent="0.3">
      <c r="A272" t="s">
        <v>346</v>
      </c>
      <c r="B272" s="1">
        <v>46166.479166666664</v>
      </c>
      <c r="C272" t="str">
        <f t="shared" si="12"/>
        <v>2026-05</v>
      </c>
      <c r="D272" t="s">
        <v>69</v>
      </c>
      <c r="E272" t="s">
        <v>17</v>
      </c>
      <c r="F272" t="s">
        <v>30</v>
      </c>
      <c r="G272" t="s">
        <v>31</v>
      </c>
      <c r="H272" t="s">
        <v>71</v>
      </c>
      <c r="I272" s="2">
        <v>118.6</v>
      </c>
      <c r="J272" s="2">
        <v>30</v>
      </c>
      <c r="K272" s="3">
        <f t="shared" si="13"/>
        <v>3.5579999999999998</v>
      </c>
      <c r="L272" t="s">
        <v>55</v>
      </c>
      <c r="M272" s="4">
        <v>0.02</v>
      </c>
      <c r="N272" s="5">
        <f t="shared" si="14"/>
        <v>0</v>
      </c>
      <c r="O272" t="s">
        <v>33</v>
      </c>
    </row>
    <row r="273" spans="1:15" x14ac:dyDescent="0.3">
      <c r="A273" t="s">
        <v>347</v>
      </c>
      <c r="B273" s="1">
        <v>46162.333333333336</v>
      </c>
      <c r="C273" t="str">
        <f t="shared" si="12"/>
        <v>2026-05</v>
      </c>
      <c r="D273" t="s">
        <v>16</v>
      </c>
      <c r="E273" t="s">
        <v>36</v>
      </c>
      <c r="F273" t="s">
        <v>52</v>
      </c>
      <c r="G273" t="s">
        <v>57</v>
      </c>
      <c r="H273" t="s">
        <v>71</v>
      </c>
      <c r="I273" s="2">
        <v>137.6</v>
      </c>
      <c r="J273" s="2">
        <v>109.8</v>
      </c>
      <c r="K273" s="3">
        <f t="shared" si="13"/>
        <v>15.10848</v>
      </c>
      <c r="L273" t="s">
        <v>21</v>
      </c>
      <c r="M273" s="4">
        <v>0.01</v>
      </c>
      <c r="N273" s="5">
        <f t="shared" si="14"/>
        <v>151.0848</v>
      </c>
      <c r="O273" t="s">
        <v>79</v>
      </c>
    </row>
    <row r="274" spans="1:15" x14ac:dyDescent="0.3">
      <c r="A274" t="s">
        <v>348</v>
      </c>
      <c r="B274" s="1">
        <v>46148.645833333336</v>
      </c>
      <c r="C274" t="str">
        <f t="shared" si="12"/>
        <v>2026-05</v>
      </c>
      <c r="D274" t="s">
        <v>73</v>
      </c>
      <c r="E274" t="s">
        <v>41</v>
      </c>
      <c r="F274" t="s">
        <v>37</v>
      </c>
      <c r="G274" t="s">
        <v>70</v>
      </c>
      <c r="H274" t="s">
        <v>81</v>
      </c>
      <c r="I274" s="2">
        <v>72.099999999999994</v>
      </c>
      <c r="J274" s="2">
        <v>127.6</v>
      </c>
      <c r="K274" s="3">
        <f t="shared" si="13"/>
        <v>9.199959999999999</v>
      </c>
      <c r="L274" t="s">
        <v>21</v>
      </c>
      <c r="M274" s="4">
        <v>0.02</v>
      </c>
      <c r="N274" s="5">
        <f t="shared" si="14"/>
        <v>183.99919999999997</v>
      </c>
      <c r="O274" t="s">
        <v>33</v>
      </c>
    </row>
    <row r="275" spans="1:15" x14ac:dyDescent="0.3">
      <c r="A275" t="s">
        <v>349</v>
      </c>
      <c r="B275" s="1">
        <v>46167.395833333336</v>
      </c>
      <c r="C275" t="str">
        <f t="shared" si="12"/>
        <v>2026-05</v>
      </c>
      <c r="D275" t="s">
        <v>35</v>
      </c>
      <c r="E275" t="s">
        <v>41</v>
      </c>
      <c r="F275" t="s">
        <v>63</v>
      </c>
      <c r="G275" t="s">
        <v>122</v>
      </c>
      <c r="H275" t="s">
        <v>85</v>
      </c>
      <c r="I275" s="2">
        <v>123</v>
      </c>
      <c r="J275" s="2">
        <v>111.2</v>
      </c>
      <c r="K275" s="3">
        <f t="shared" si="13"/>
        <v>13.6776</v>
      </c>
      <c r="L275" t="s">
        <v>43</v>
      </c>
      <c r="M275" s="4">
        <v>0.02</v>
      </c>
      <c r="N275" s="5">
        <f t="shared" si="14"/>
        <v>0</v>
      </c>
      <c r="O275" t="s">
        <v>22</v>
      </c>
    </row>
    <row r="276" spans="1:15" x14ac:dyDescent="0.3">
      <c r="A276" t="s">
        <v>350</v>
      </c>
      <c r="B276" s="1">
        <v>46144.46875</v>
      </c>
      <c r="C276" t="str">
        <f t="shared" si="12"/>
        <v>2026-05</v>
      </c>
      <c r="D276" t="s">
        <v>35</v>
      </c>
      <c r="E276" t="s">
        <v>36</v>
      </c>
      <c r="F276" t="s">
        <v>25</v>
      </c>
      <c r="G276" t="s">
        <v>64</v>
      </c>
      <c r="H276" t="s">
        <v>59</v>
      </c>
      <c r="I276" s="2">
        <v>77</v>
      </c>
      <c r="J276" s="2">
        <v>81.599999999999994</v>
      </c>
      <c r="K276" s="3">
        <f t="shared" si="13"/>
        <v>6.2831999999999999</v>
      </c>
      <c r="L276" t="s">
        <v>21</v>
      </c>
      <c r="M276" s="4">
        <v>8.0000000000000002E-3</v>
      </c>
      <c r="N276" s="5">
        <f t="shared" si="14"/>
        <v>50.265599999999999</v>
      </c>
      <c r="O276" t="s">
        <v>44</v>
      </c>
    </row>
    <row r="277" spans="1:15" x14ac:dyDescent="0.3">
      <c r="A277" t="s">
        <v>351</v>
      </c>
      <c r="B277" s="1">
        <v>46158.447916666664</v>
      </c>
      <c r="C277" t="str">
        <f t="shared" si="12"/>
        <v>2026-05</v>
      </c>
      <c r="D277" t="s">
        <v>16</v>
      </c>
      <c r="E277" t="s">
        <v>41</v>
      </c>
      <c r="F277" t="s">
        <v>30</v>
      </c>
      <c r="G277" t="s">
        <v>133</v>
      </c>
      <c r="H277" t="s">
        <v>49</v>
      </c>
      <c r="I277" s="2">
        <v>153.9</v>
      </c>
      <c r="J277" s="2">
        <v>62.2</v>
      </c>
      <c r="K277" s="3">
        <f t="shared" si="13"/>
        <v>9.5725800000000003</v>
      </c>
      <c r="L277" t="s">
        <v>55</v>
      </c>
      <c r="M277" s="4">
        <v>0.01</v>
      </c>
      <c r="N277" s="5">
        <f t="shared" si="14"/>
        <v>0</v>
      </c>
      <c r="O277" t="s">
        <v>33</v>
      </c>
    </row>
    <row r="278" spans="1:15" x14ac:dyDescent="0.3">
      <c r="A278" t="s">
        <v>352</v>
      </c>
      <c r="B278" s="1">
        <v>46151.510416666664</v>
      </c>
      <c r="C278" t="str">
        <f t="shared" si="12"/>
        <v>2026-05</v>
      </c>
      <c r="D278" t="s">
        <v>51</v>
      </c>
      <c r="E278" t="s">
        <v>29</v>
      </c>
      <c r="F278" t="s">
        <v>25</v>
      </c>
      <c r="G278" t="s">
        <v>102</v>
      </c>
      <c r="H278" t="s">
        <v>65</v>
      </c>
      <c r="I278" s="2">
        <v>65.5</v>
      </c>
      <c r="J278" s="2">
        <v>92.5</v>
      </c>
      <c r="K278" s="3">
        <f t="shared" si="13"/>
        <v>6.0587499999999999</v>
      </c>
      <c r="L278" t="s">
        <v>43</v>
      </c>
      <c r="M278" s="4">
        <v>0.02</v>
      </c>
      <c r="N278" s="5">
        <f t="shared" si="14"/>
        <v>0</v>
      </c>
      <c r="O278" t="s">
        <v>22</v>
      </c>
    </row>
    <row r="279" spans="1:15" x14ac:dyDescent="0.3">
      <c r="A279" t="s">
        <v>353</v>
      </c>
      <c r="B279" s="1">
        <v>46164.59375</v>
      </c>
      <c r="C279" t="str">
        <f t="shared" si="12"/>
        <v>2026-05</v>
      </c>
      <c r="D279" t="s">
        <v>51</v>
      </c>
      <c r="E279" t="s">
        <v>47</v>
      </c>
      <c r="F279" t="s">
        <v>63</v>
      </c>
      <c r="G279" t="s">
        <v>122</v>
      </c>
      <c r="H279" t="s">
        <v>61</v>
      </c>
      <c r="I279" s="2">
        <v>93.3</v>
      </c>
      <c r="J279" s="2">
        <v>191.7</v>
      </c>
      <c r="K279" s="3">
        <f t="shared" si="13"/>
        <v>17.885609999999996</v>
      </c>
      <c r="L279" t="s">
        <v>55</v>
      </c>
      <c r="M279" s="4">
        <v>8.0000000000000002E-3</v>
      </c>
      <c r="N279" s="5">
        <f t="shared" si="14"/>
        <v>0</v>
      </c>
      <c r="O279" t="s">
        <v>33</v>
      </c>
    </row>
    <row r="280" spans="1:15" x14ac:dyDescent="0.3">
      <c r="A280" t="s">
        <v>354</v>
      </c>
      <c r="B280" s="1">
        <v>46173.59375</v>
      </c>
      <c r="C280" t="str">
        <f t="shared" si="12"/>
        <v>2026-05</v>
      </c>
      <c r="D280" t="s">
        <v>107</v>
      </c>
      <c r="E280" t="s">
        <v>29</v>
      </c>
      <c r="F280" t="s">
        <v>25</v>
      </c>
      <c r="G280" t="s">
        <v>64</v>
      </c>
      <c r="H280" t="s">
        <v>32</v>
      </c>
      <c r="I280" s="2">
        <v>59.6</v>
      </c>
      <c r="J280" s="2">
        <v>55.1</v>
      </c>
      <c r="K280" s="3">
        <f t="shared" si="13"/>
        <v>3.28396</v>
      </c>
      <c r="L280" t="s">
        <v>21</v>
      </c>
      <c r="M280" s="4">
        <v>8.0000000000000002E-3</v>
      </c>
      <c r="N280" s="5">
        <f t="shared" si="14"/>
        <v>26.271680000000003</v>
      </c>
      <c r="O280" t="s">
        <v>22</v>
      </c>
    </row>
    <row r="281" spans="1:15" x14ac:dyDescent="0.3">
      <c r="A281" t="s">
        <v>355</v>
      </c>
      <c r="B281" s="1">
        <v>46146.458333333336</v>
      </c>
      <c r="C281" t="str">
        <f t="shared" si="12"/>
        <v>2026-05</v>
      </c>
      <c r="D281" t="s">
        <v>35</v>
      </c>
      <c r="E281" t="s">
        <v>29</v>
      </c>
      <c r="F281" t="s">
        <v>18</v>
      </c>
      <c r="G281" t="s">
        <v>64</v>
      </c>
      <c r="H281" t="s">
        <v>54</v>
      </c>
      <c r="I281" s="2">
        <v>487.9</v>
      </c>
      <c r="J281" s="2">
        <v>96.3</v>
      </c>
      <c r="K281" s="3">
        <f t="shared" si="13"/>
        <v>46.984769999999997</v>
      </c>
      <c r="L281" t="s">
        <v>43</v>
      </c>
      <c r="M281" s="4">
        <v>8.0000000000000002E-3</v>
      </c>
      <c r="N281" s="5">
        <f t="shared" si="14"/>
        <v>0</v>
      </c>
      <c r="O281" t="s">
        <v>44</v>
      </c>
    </row>
    <row r="282" spans="1:15" x14ac:dyDescent="0.3">
      <c r="A282" t="s">
        <v>356</v>
      </c>
      <c r="B282" s="1">
        <v>46165.71875</v>
      </c>
      <c r="C282" t="str">
        <f t="shared" si="12"/>
        <v>2026-05</v>
      </c>
      <c r="D282" t="s">
        <v>46</v>
      </c>
      <c r="E282" t="s">
        <v>29</v>
      </c>
      <c r="F282" t="s">
        <v>37</v>
      </c>
      <c r="G282" t="s">
        <v>70</v>
      </c>
      <c r="H282" t="s">
        <v>85</v>
      </c>
      <c r="I282" s="2">
        <v>128.5</v>
      </c>
      <c r="J282" s="2">
        <v>211.5</v>
      </c>
      <c r="K282" s="3">
        <f t="shared" si="13"/>
        <v>27.17775</v>
      </c>
      <c r="L282" t="s">
        <v>21</v>
      </c>
      <c r="M282" s="4">
        <v>8.0000000000000002E-3</v>
      </c>
      <c r="N282" s="5">
        <f t="shared" si="14"/>
        <v>217.422</v>
      </c>
      <c r="O282" t="s">
        <v>44</v>
      </c>
    </row>
    <row r="283" spans="1:15" x14ac:dyDescent="0.3">
      <c r="A283" t="s">
        <v>357</v>
      </c>
      <c r="B283" s="1">
        <v>46154.739583333336</v>
      </c>
      <c r="C283" t="str">
        <f t="shared" si="12"/>
        <v>2026-05</v>
      </c>
      <c r="D283" t="s">
        <v>73</v>
      </c>
      <c r="E283" t="s">
        <v>36</v>
      </c>
      <c r="F283" t="s">
        <v>30</v>
      </c>
      <c r="G283" t="s">
        <v>139</v>
      </c>
      <c r="H283" t="s">
        <v>32</v>
      </c>
      <c r="I283" s="2">
        <v>96.1</v>
      </c>
      <c r="J283" s="2">
        <v>38.799999999999997</v>
      </c>
      <c r="K283" s="3">
        <f t="shared" si="13"/>
        <v>3.7286799999999993</v>
      </c>
      <c r="L283" t="s">
        <v>43</v>
      </c>
      <c r="M283" s="4">
        <v>0.01</v>
      </c>
      <c r="N283" s="5">
        <f t="shared" si="14"/>
        <v>0</v>
      </c>
      <c r="O283" t="s">
        <v>39</v>
      </c>
    </row>
    <row r="284" spans="1:15" x14ac:dyDescent="0.3">
      <c r="A284" t="s">
        <v>358</v>
      </c>
      <c r="B284" s="1">
        <v>46150.770833333336</v>
      </c>
      <c r="C284" t="str">
        <f t="shared" si="12"/>
        <v>2026-05</v>
      </c>
      <c r="D284" t="s">
        <v>24</v>
      </c>
      <c r="E284" t="s">
        <v>17</v>
      </c>
      <c r="F284" t="s">
        <v>52</v>
      </c>
      <c r="G284" t="s">
        <v>53</v>
      </c>
      <c r="H284" t="s">
        <v>74</v>
      </c>
      <c r="I284" s="2">
        <v>57.7</v>
      </c>
      <c r="J284" s="2">
        <v>119.1</v>
      </c>
      <c r="K284" s="3">
        <f t="shared" si="13"/>
        <v>6.8720699999999999</v>
      </c>
      <c r="L284" t="s">
        <v>78</v>
      </c>
      <c r="M284" s="4">
        <v>8.0000000000000002E-3</v>
      </c>
      <c r="N284" s="5">
        <f t="shared" si="14"/>
        <v>0</v>
      </c>
      <c r="O284" t="s">
        <v>79</v>
      </c>
    </row>
    <row r="285" spans="1:15" x14ac:dyDescent="0.3">
      <c r="A285" t="s">
        <v>359</v>
      </c>
      <c r="B285" s="1">
        <v>46145.572916666664</v>
      </c>
      <c r="C285" t="str">
        <f t="shared" si="12"/>
        <v>2026-05</v>
      </c>
      <c r="D285" t="s">
        <v>69</v>
      </c>
      <c r="E285" t="s">
        <v>29</v>
      </c>
      <c r="F285" t="s">
        <v>37</v>
      </c>
      <c r="G285" t="s">
        <v>38</v>
      </c>
      <c r="H285" t="s">
        <v>32</v>
      </c>
      <c r="I285" s="2">
        <v>60.3</v>
      </c>
      <c r="J285" s="2">
        <v>218.6</v>
      </c>
      <c r="K285" s="3">
        <f t="shared" si="13"/>
        <v>13.18158</v>
      </c>
      <c r="L285" t="s">
        <v>43</v>
      </c>
      <c r="M285" s="4">
        <v>1.4999999999999999E-2</v>
      </c>
      <c r="N285" s="5">
        <f t="shared" si="14"/>
        <v>0</v>
      </c>
      <c r="O285" t="s">
        <v>22</v>
      </c>
    </row>
    <row r="286" spans="1:15" x14ac:dyDescent="0.3">
      <c r="A286" t="s">
        <v>360</v>
      </c>
      <c r="B286" s="1">
        <v>46153.333333333336</v>
      </c>
      <c r="C286" t="str">
        <f t="shared" si="12"/>
        <v>2026-05</v>
      </c>
      <c r="D286" t="s">
        <v>35</v>
      </c>
      <c r="E286" t="s">
        <v>47</v>
      </c>
      <c r="F286" t="s">
        <v>30</v>
      </c>
      <c r="G286" t="s">
        <v>42</v>
      </c>
      <c r="H286" t="s">
        <v>85</v>
      </c>
      <c r="I286" s="2">
        <v>166.4</v>
      </c>
      <c r="J286" s="2">
        <v>24</v>
      </c>
      <c r="K286" s="3">
        <f t="shared" si="13"/>
        <v>3.9936000000000003</v>
      </c>
      <c r="L286" t="s">
        <v>21</v>
      </c>
      <c r="M286" s="4">
        <v>8.0000000000000002E-3</v>
      </c>
      <c r="N286" s="5">
        <f t="shared" si="14"/>
        <v>31.948799999999999</v>
      </c>
      <c r="O286" t="s">
        <v>33</v>
      </c>
    </row>
    <row r="287" spans="1:15" x14ac:dyDescent="0.3">
      <c r="A287" t="s">
        <v>361</v>
      </c>
      <c r="B287" s="1">
        <v>46165.479166666664</v>
      </c>
      <c r="C287" t="str">
        <f t="shared" si="12"/>
        <v>2026-05</v>
      </c>
      <c r="D287" t="s">
        <v>16</v>
      </c>
      <c r="E287" t="s">
        <v>47</v>
      </c>
      <c r="F287" t="s">
        <v>63</v>
      </c>
      <c r="G287" t="s">
        <v>122</v>
      </c>
      <c r="H287" t="s">
        <v>85</v>
      </c>
      <c r="I287" s="2">
        <v>145.19999999999999</v>
      </c>
      <c r="J287" s="2">
        <v>230.9</v>
      </c>
      <c r="K287" s="3">
        <f t="shared" si="13"/>
        <v>33.526679999999999</v>
      </c>
      <c r="L287" t="s">
        <v>21</v>
      </c>
      <c r="M287" s="4">
        <v>1.4999999999999999E-2</v>
      </c>
      <c r="N287" s="5">
        <f t="shared" si="14"/>
        <v>502.90020000000004</v>
      </c>
      <c r="O287" t="s">
        <v>22</v>
      </c>
    </row>
    <row r="288" spans="1:15" x14ac:dyDescent="0.3">
      <c r="A288" t="s">
        <v>362</v>
      </c>
      <c r="B288" s="1">
        <v>46145.5625</v>
      </c>
      <c r="C288" t="str">
        <f t="shared" si="12"/>
        <v>2026-05</v>
      </c>
      <c r="D288" t="s">
        <v>46</v>
      </c>
      <c r="E288" t="s">
        <v>47</v>
      </c>
      <c r="F288" t="s">
        <v>18</v>
      </c>
      <c r="G288" t="s">
        <v>84</v>
      </c>
      <c r="H288" t="s">
        <v>71</v>
      </c>
      <c r="I288" s="2">
        <v>267.2</v>
      </c>
      <c r="J288" s="2">
        <v>111.2</v>
      </c>
      <c r="K288" s="3">
        <f t="shared" si="13"/>
        <v>29.71264</v>
      </c>
      <c r="L288" t="s">
        <v>21</v>
      </c>
      <c r="M288" s="4">
        <v>0.02</v>
      </c>
      <c r="N288" s="5">
        <f t="shared" si="14"/>
        <v>594.25279999999998</v>
      </c>
      <c r="O288" t="s">
        <v>33</v>
      </c>
    </row>
    <row r="289" spans="1:15" x14ac:dyDescent="0.3">
      <c r="A289" t="s">
        <v>363</v>
      </c>
      <c r="B289" s="1">
        <v>46150.552083333336</v>
      </c>
      <c r="C289" t="str">
        <f t="shared" si="12"/>
        <v>2026-05</v>
      </c>
      <c r="D289" t="s">
        <v>51</v>
      </c>
      <c r="E289" t="s">
        <v>29</v>
      </c>
      <c r="F289" t="s">
        <v>18</v>
      </c>
      <c r="G289" t="s">
        <v>64</v>
      </c>
      <c r="H289" t="s">
        <v>85</v>
      </c>
      <c r="I289" s="2">
        <v>297.2</v>
      </c>
      <c r="J289" s="2">
        <v>157.4</v>
      </c>
      <c r="K289" s="3">
        <f t="shared" si="13"/>
        <v>46.77928</v>
      </c>
      <c r="L289" t="s">
        <v>55</v>
      </c>
      <c r="M289" s="4">
        <v>8.0000000000000002E-3</v>
      </c>
      <c r="N289" s="5">
        <f t="shared" si="14"/>
        <v>0</v>
      </c>
      <c r="O289" t="s">
        <v>33</v>
      </c>
    </row>
    <row r="290" spans="1:15" x14ac:dyDescent="0.3">
      <c r="A290" t="s">
        <v>364</v>
      </c>
      <c r="B290" s="1">
        <v>46156.677083333336</v>
      </c>
      <c r="C290" t="str">
        <f t="shared" si="12"/>
        <v>2026-05</v>
      </c>
      <c r="D290" t="s">
        <v>73</v>
      </c>
      <c r="E290" t="s">
        <v>17</v>
      </c>
      <c r="F290" t="s">
        <v>25</v>
      </c>
      <c r="G290" t="s">
        <v>102</v>
      </c>
      <c r="H290" t="s">
        <v>71</v>
      </c>
      <c r="I290" s="2">
        <v>85.8</v>
      </c>
      <c r="J290" s="2">
        <v>111.4</v>
      </c>
      <c r="K290" s="3">
        <f t="shared" si="13"/>
        <v>9.5581200000000006</v>
      </c>
      <c r="L290" t="s">
        <v>21</v>
      </c>
      <c r="M290" s="4">
        <v>0.01</v>
      </c>
      <c r="N290" s="5">
        <f t="shared" si="14"/>
        <v>95.58120000000001</v>
      </c>
      <c r="O290" t="s">
        <v>79</v>
      </c>
    </row>
    <row r="291" spans="1:15" x14ac:dyDescent="0.3">
      <c r="A291" t="s">
        <v>365</v>
      </c>
      <c r="B291" s="1">
        <v>46159.71875</v>
      </c>
      <c r="C291" t="str">
        <f t="shared" si="12"/>
        <v>2026-05</v>
      </c>
      <c r="D291" t="s">
        <v>73</v>
      </c>
      <c r="E291" t="s">
        <v>47</v>
      </c>
      <c r="F291" t="s">
        <v>30</v>
      </c>
      <c r="G291" t="s">
        <v>139</v>
      </c>
      <c r="H291" t="s">
        <v>61</v>
      </c>
      <c r="I291" s="2">
        <v>76.3</v>
      </c>
      <c r="J291" s="2">
        <v>19</v>
      </c>
      <c r="K291" s="3">
        <f t="shared" si="13"/>
        <v>1.4497</v>
      </c>
      <c r="L291" t="s">
        <v>21</v>
      </c>
      <c r="M291" s="4">
        <v>1.4999999999999999E-2</v>
      </c>
      <c r="N291" s="5">
        <f t="shared" si="14"/>
        <v>21.745499999999996</v>
      </c>
      <c r="O291" t="s">
        <v>33</v>
      </c>
    </row>
    <row r="292" spans="1:15" x14ac:dyDescent="0.3">
      <c r="A292" t="s">
        <v>366</v>
      </c>
      <c r="B292" s="1">
        <v>46145.333333333336</v>
      </c>
      <c r="C292" t="str">
        <f t="shared" si="12"/>
        <v>2026-05</v>
      </c>
      <c r="D292" t="s">
        <v>107</v>
      </c>
      <c r="E292" t="s">
        <v>36</v>
      </c>
      <c r="F292" t="s">
        <v>18</v>
      </c>
      <c r="G292" t="s">
        <v>84</v>
      </c>
      <c r="H292" t="s">
        <v>61</v>
      </c>
      <c r="I292" s="2">
        <v>255.5</v>
      </c>
      <c r="J292" s="2">
        <v>181.3</v>
      </c>
      <c r="K292" s="3">
        <f t="shared" si="13"/>
        <v>46.322150000000001</v>
      </c>
      <c r="L292" t="s">
        <v>55</v>
      </c>
      <c r="M292" s="4">
        <v>0.02</v>
      </c>
      <c r="N292" s="5">
        <f t="shared" si="14"/>
        <v>0</v>
      </c>
      <c r="O292" t="s">
        <v>33</v>
      </c>
    </row>
    <row r="293" spans="1:15" x14ac:dyDescent="0.3">
      <c r="A293" t="s">
        <v>367</v>
      </c>
      <c r="B293" s="1">
        <v>46164.739583333336</v>
      </c>
      <c r="C293" t="str">
        <f t="shared" si="12"/>
        <v>2026-05</v>
      </c>
      <c r="D293" t="s">
        <v>16</v>
      </c>
      <c r="E293" t="s">
        <v>47</v>
      </c>
      <c r="F293" t="s">
        <v>52</v>
      </c>
      <c r="G293" t="s">
        <v>57</v>
      </c>
      <c r="H293" t="s">
        <v>49</v>
      </c>
      <c r="I293" s="2">
        <v>54.5</v>
      </c>
      <c r="J293" s="2">
        <v>70.2</v>
      </c>
      <c r="K293" s="3">
        <f t="shared" si="13"/>
        <v>3.8259000000000003</v>
      </c>
      <c r="L293" t="s">
        <v>21</v>
      </c>
      <c r="M293" s="4">
        <v>8.0000000000000002E-3</v>
      </c>
      <c r="N293" s="5">
        <f t="shared" si="14"/>
        <v>30.607200000000006</v>
      </c>
      <c r="O293" t="s">
        <v>22</v>
      </c>
    </row>
    <row r="294" spans="1:15" x14ac:dyDescent="0.3">
      <c r="A294" t="s">
        <v>368</v>
      </c>
      <c r="B294" s="1">
        <v>46161.53125</v>
      </c>
      <c r="C294" t="str">
        <f t="shared" si="12"/>
        <v>2026-05</v>
      </c>
      <c r="D294" t="s">
        <v>51</v>
      </c>
      <c r="E294" t="s">
        <v>47</v>
      </c>
      <c r="F294" t="s">
        <v>63</v>
      </c>
      <c r="G294" t="s">
        <v>88</v>
      </c>
      <c r="H294" t="s">
        <v>27</v>
      </c>
      <c r="I294" s="2">
        <v>132.30000000000001</v>
      </c>
      <c r="J294" s="2">
        <v>103.3</v>
      </c>
      <c r="K294" s="3">
        <f t="shared" si="13"/>
        <v>13.666589999999999</v>
      </c>
      <c r="L294" t="s">
        <v>55</v>
      </c>
      <c r="M294" s="4">
        <v>0.01</v>
      </c>
      <c r="N294" s="5">
        <f t="shared" si="14"/>
        <v>0</v>
      </c>
      <c r="O294" t="s">
        <v>39</v>
      </c>
    </row>
    <row r="295" spans="1:15" x14ac:dyDescent="0.3">
      <c r="A295" t="s">
        <v>369</v>
      </c>
      <c r="B295" s="1">
        <v>46149.479166666664</v>
      </c>
      <c r="C295" t="str">
        <f t="shared" si="12"/>
        <v>2026-05</v>
      </c>
      <c r="D295" t="s">
        <v>35</v>
      </c>
      <c r="E295" t="s">
        <v>17</v>
      </c>
      <c r="F295" t="s">
        <v>63</v>
      </c>
      <c r="G295" t="s">
        <v>122</v>
      </c>
      <c r="H295" t="s">
        <v>32</v>
      </c>
      <c r="I295" s="2">
        <v>202</v>
      </c>
      <c r="J295" s="2">
        <v>206.3</v>
      </c>
      <c r="K295" s="3">
        <f t="shared" si="13"/>
        <v>41.672600000000003</v>
      </c>
      <c r="L295" t="s">
        <v>55</v>
      </c>
      <c r="M295" s="4">
        <v>0.02</v>
      </c>
      <c r="N295" s="5">
        <f t="shared" si="14"/>
        <v>0</v>
      </c>
      <c r="O295" t="s">
        <v>22</v>
      </c>
    </row>
    <row r="296" spans="1:15" x14ac:dyDescent="0.3">
      <c r="A296" t="s">
        <v>370</v>
      </c>
      <c r="B296" s="1">
        <v>46146.489583333336</v>
      </c>
      <c r="C296" t="str">
        <f t="shared" si="12"/>
        <v>2026-05</v>
      </c>
      <c r="D296" t="s">
        <v>69</v>
      </c>
      <c r="E296" t="s">
        <v>47</v>
      </c>
      <c r="F296" t="s">
        <v>18</v>
      </c>
      <c r="G296" t="s">
        <v>84</v>
      </c>
      <c r="H296" t="s">
        <v>81</v>
      </c>
      <c r="I296" s="2">
        <v>387.7</v>
      </c>
      <c r="J296" s="2">
        <v>137.69999999999999</v>
      </c>
      <c r="K296" s="3">
        <f t="shared" si="13"/>
        <v>53.386289999999995</v>
      </c>
      <c r="L296" t="s">
        <v>21</v>
      </c>
      <c r="M296" s="4">
        <v>0.01</v>
      </c>
      <c r="N296" s="5">
        <f t="shared" si="14"/>
        <v>533.86289999999997</v>
      </c>
      <c r="O296" t="s">
        <v>39</v>
      </c>
    </row>
    <row r="297" spans="1:15" x14ac:dyDescent="0.3">
      <c r="A297" t="s">
        <v>371</v>
      </c>
      <c r="B297" s="1">
        <v>46166.354166666664</v>
      </c>
      <c r="C297" t="str">
        <f t="shared" si="12"/>
        <v>2026-05</v>
      </c>
      <c r="D297" t="s">
        <v>69</v>
      </c>
      <c r="E297" t="s">
        <v>29</v>
      </c>
      <c r="F297" t="s">
        <v>18</v>
      </c>
      <c r="G297" t="s">
        <v>64</v>
      </c>
      <c r="H297" t="s">
        <v>32</v>
      </c>
      <c r="I297" s="2">
        <v>325.8</v>
      </c>
      <c r="J297" s="2">
        <v>135.69999999999999</v>
      </c>
      <c r="K297" s="3">
        <f t="shared" si="13"/>
        <v>44.211059999999996</v>
      </c>
      <c r="L297" t="s">
        <v>55</v>
      </c>
      <c r="M297" s="4">
        <v>0.02</v>
      </c>
      <c r="N297" s="5">
        <f t="shared" si="14"/>
        <v>0</v>
      </c>
      <c r="O297" t="s">
        <v>44</v>
      </c>
    </row>
    <row r="298" spans="1:15" x14ac:dyDescent="0.3">
      <c r="A298" t="s">
        <v>372</v>
      </c>
      <c r="B298" s="1">
        <v>46168.520833333336</v>
      </c>
      <c r="C298" t="str">
        <f t="shared" si="12"/>
        <v>2026-05</v>
      </c>
      <c r="D298" t="s">
        <v>35</v>
      </c>
      <c r="E298" t="s">
        <v>29</v>
      </c>
      <c r="F298" t="s">
        <v>25</v>
      </c>
      <c r="G298" t="s">
        <v>102</v>
      </c>
      <c r="H298" t="s">
        <v>85</v>
      </c>
      <c r="I298" s="2">
        <v>54.3</v>
      </c>
      <c r="J298" s="2">
        <v>76.599999999999994</v>
      </c>
      <c r="K298" s="3">
        <f t="shared" si="13"/>
        <v>4.1593799999999996</v>
      </c>
      <c r="L298" t="s">
        <v>21</v>
      </c>
      <c r="M298" s="4">
        <v>1.2E-2</v>
      </c>
      <c r="N298" s="5">
        <f t="shared" si="14"/>
        <v>49.912559999999992</v>
      </c>
      <c r="O298" t="s">
        <v>33</v>
      </c>
    </row>
    <row r="299" spans="1:15" x14ac:dyDescent="0.3">
      <c r="A299" t="s">
        <v>373</v>
      </c>
      <c r="B299" s="1">
        <v>46172.739583333336</v>
      </c>
      <c r="C299" t="str">
        <f t="shared" si="12"/>
        <v>2026-05</v>
      </c>
      <c r="D299" t="s">
        <v>24</v>
      </c>
      <c r="E299" t="s">
        <v>29</v>
      </c>
      <c r="F299" t="s">
        <v>25</v>
      </c>
      <c r="G299" t="s">
        <v>26</v>
      </c>
      <c r="H299" t="s">
        <v>71</v>
      </c>
      <c r="I299" s="2">
        <v>61.8</v>
      </c>
      <c r="J299" s="2">
        <v>78.2</v>
      </c>
      <c r="K299" s="3">
        <f t="shared" si="13"/>
        <v>4.8327600000000004</v>
      </c>
      <c r="L299" t="s">
        <v>55</v>
      </c>
      <c r="M299" s="4">
        <v>1.2E-2</v>
      </c>
      <c r="N299" s="5">
        <f t="shared" si="14"/>
        <v>0</v>
      </c>
      <c r="O299" t="s">
        <v>39</v>
      </c>
    </row>
    <row r="300" spans="1:15" x14ac:dyDescent="0.3">
      <c r="A300" t="s">
        <v>374</v>
      </c>
      <c r="B300" s="1">
        <v>46156.739583333336</v>
      </c>
      <c r="C300" t="str">
        <f t="shared" si="12"/>
        <v>2026-05</v>
      </c>
      <c r="D300" t="s">
        <v>16</v>
      </c>
      <c r="E300" t="s">
        <v>41</v>
      </c>
      <c r="F300" t="s">
        <v>30</v>
      </c>
      <c r="G300" t="s">
        <v>31</v>
      </c>
      <c r="H300" t="s">
        <v>81</v>
      </c>
      <c r="I300" s="2">
        <v>246.8</v>
      </c>
      <c r="J300" s="2">
        <v>63.1</v>
      </c>
      <c r="K300" s="3">
        <f t="shared" si="13"/>
        <v>15.573080000000001</v>
      </c>
      <c r="L300" t="s">
        <v>21</v>
      </c>
      <c r="M300" s="4">
        <v>8.0000000000000002E-3</v>
      </c>
      <c r="N300" s="5">
        <f t="shared" si="14"/>
        <v>124.58464000000001</v>
      </c>
      <c r="O300" t="s">
        <v>44</v>
      </c>
    </row>
    <row r="301" spans="1:15" x14ac:dyDescent="0.3">
      <c r="A301" t="s">
        <v>375</v>
      </c>
      <c r="B301" s="1">
        <v>46170.677083333336</v>
      </c>
      <c r="C301" t="str">
        <f t="shared" si="12"/>
        <v>2026-05</v>
      </c>
      <c r="D301" t="s">
        <v>35</v>
      </c>
      <c r="E301" t="s">
        <v>47</v>
      </c>
      <c r="F301" t="s">
        <v>52</v>
      </c>
      <c r="G301" t="s">
        <v>57</v>
      </c>
      <c r="H301" t="s">
        <v>61</v>
      </c>
      <c r="I301" s="2">
        <v>136.4</v>
      </c>
      <c r="J301" s="2">
        <v>147.80000000000001</v>
      </c>
      <c r="K301" s="3">
        <f t="shared" si="13"/>
        <v>20.159920000000003</v>
      </c>
      <c r="L301" t="s">
        <v>55</v>
      </c>
      <c r="M301" s="4">
        <v>1.4999999999999999E-2</v>
      </c>
      <c r="N301" s="5">
        <f t="shared" si="14"/>
        <v>0</v>
      </c>
      <c r="O301" t="s">
        <v>79</v>
      </c>
    </row>
    <row r="302" spans="1:15" x14ac:dyDescent="0.3">
      <c r="A302" t="s">
        <v>376</v>
      </c>
      <c r="B302" s="1">
        <v>46199.40625</v>
      </c>
      <c r="C302" t="str">
        <f t="shared" si="12"/>
        <v>2026-06</v>
      </c>
      <c r="D302" t="s">
        <v>69</v>
      </c>
      <c r="E302" t="s">
        <v>29</v>
      </c>
      <c r="F302" t="s">
        <v>37</v>
      </c>
      <c r="G302" t="s">
        <v>156</v>
      </c>
      <c r="H302" t="s">
        <v>20</v>
      </c>
      <c r="I302" s="2">
        <v>84.2</v>
      </c>
      <c r="J302" s="2">
        <v>202.9</v>
      </c>
      <c r="K302" s="3">
        <f t="shared" si="13"/>
        <v>17.08418</v>
      </c>
      <c r="L302" t="s">
        <v>21</v>
      </c>
      <c r="M302" s="4">
        <v>1.2E-2</v>
      </c>
      <c r="N302" s="5">
        <f t="shared" si="14"/>
        <v>205.01015999999998</v>
      </c>
      <c r="O302" t="s">
        <v>33</v>
      </c>
    </row>
    <row r="303" spans="1:15" x14ac:dyDescent="0.3">
      <c r="A303" t="s">
        <v>377</v>
      </c>
      <c r="B303" s="1">
        <v>46175.572916666664</v>
      </c>
      <c r="C303" t="str">
        <f t="shared" si="12"/>
        <v>2026-06</v>
      </c>
      <c r="D303" t="s">
        <v>16</v>
      </c>
      <c r="E303" t="s">
        <v>29</v>
      </c>
      <c r="F303" t="s">
        <v>18</v>
      </c>
      <c r="G303" t="s">
        <v>84</v>
      </c>
      <c r="H303" t="s">
        <v>54</v>
      </c>
      <c r="I303" s="2">
        <v>425.2</v>
      </c>
      <c r="J303" s="2">
        <v>235.5</v>
      </c>
      <c r="K303" s="3">
        <f t="shared" si="13"/>
        <v>100.13459999999999</v>
      </c>
      <c r="L303" t="s">
        <v>21</v>
      </c>
      <c r="M303" s="4">
        <v>8.0000000000000002E-3</v>
      </c>
      <c r="N303" s="5">
        <f t="shared" si="14"/>
        <v>801.07679999999993</v>
      </c>
      <c r="O303" t="s">
        <v>39</v>
      </c>
    </row>
    <row r="304" spans="1:15" x14ac:dyDescent="0.3">
      <c r="A304" t="s">
        <v>378</v>
      </c>
      <c r="B304" s="1">
        <v>46203.614583333336</v>
      </c>
      <c r="C304" t="str">
        <f t="shared" si="12"/>
        <v>2026-06</v>
      </c>
      <c r="D304" t="s">
        <v>24</v>
      </c>
      <c r="E304" t="s">
        <v>29</v>
      </c>
      <c r="F304" t="s">
        <v>37</v>
      </c>
      <c r="G304" t="s">
        <v>38</v>
      </c>
      <c r="H304" t="s">
        <v>54</v>
      </c>
      <c r="I304" s="2">
        <v>79.8</v>
      </c>
      <c r="J304" s="2">
        <v>229.5</v>
      </c>
      <c r="K304" s="3">
        <f t="shared" si="13"/>
        <v>18.3141</v>
      </c>
      <c r="L304" t="s">
        <v>78</v>
      </c>
      <c r="M304" s="4">
        <v>8.0000000000000002E-3</v>
      </c>
      <c r="N304" s="5">
        <f t="shared" si="14"/>
        <v>0</v>
      </c>
      <c r="O304" t="s">
        <v>33</v>
      </c>
    </row>
    <row r="305" spans="1:15" x14ac:dyDescent="0.3">
      <c r="A305" t="s">
        <v>379</v>
      </c>
      <c r="B305" s="1">
        <v>46178.416666666664</v>
      </c>
      <c r="C305" t="str">
        <f t="shared" si="12"/>
        <v>2026-06</v>
      </c>
      <c r="D305" t="s">
        <v>16</v>
      </c>
      <c r="E305" t="s">
        <v>41</v>
      </c>
      <c r="F305" t="s">
        <v>30</v>
      </c>
      <c r="G305" t="s">
        <v>42</v>
      </c>
      <c r="H305" t="s">
        <v>59</v>
      </c>
      <c r="I305" s="2">
        <v>147</v>
      </c>
      <c r="J305" s="2">
        <v>56.7</v>
      </c>
      <c r="K305" s="3">
        <f t="shared" si="13"/>
        <v>8.3348999999999993</v>
      </c>
      <c r="L305" t="s">
        <v>21</v>
      </c>
      <c r="M305" s="4">
        <v>0.02</v>
      </c>
      <c r="N305" s="5">
        <f t="shared" si="14"/>
        <v>166.69799999999998</v>
      </c>
      <c r="O305" t="s">
        <v>22</v>
      </c>
    </row>
    <row r="306" spans="1:15" x14ac:dyDescent="0.3">
      <c r="A306" t="s">
        <v>380</v>
      </c>
      <c r="B306" s="1">
        <v>46200.59375</v>
      </c>
      <c r="C306" t="str">
        <f t="shared" si="12"/>
        <v>2026-06</v>
      </c>
      <c r="D306" t="s">
        <v>69</v>
      </c>
      <c r="E306" t="s">
        <v>36</v>
      </c>
      <c r="F306" t="s">
        <v>25</v>
      </c>
      <c r="G306" t="s">
        <v>26</v>
      </c>
      <c r="H306" t="s">
        <v>85</v>
      </c>
      <c r="I306" s="2">
        <v>84.4</v>
      </c>
      <c r="J306" s="2">
        <v>110.2</v>
      </c>
      <c r="K306" s="3">
        <f t="shared" si="13"/>
        <v>9.3008800000000011</v>
      </c>
      <c r="L306" t="s">
        <v>43</v>
      </c>
      <c r="M306" s="4">
        <v>0.02</v>
      </c>
      <c r="N306" s="5">
        <f t="shared" si="14"/>
        <v>0</v>
      </c>
      <c r="O306" t="s">
        <v>79</v>
      </c>
    </row>
    <row r="307" spans="1:15" x14ac:dyDescent="0.3">
      <c r="A307" t="s">
        <v>381</v>
      </c>
      <c r="B307" s="1">
        <v>46192.4375</v>
      </c>
      <c r="C307" t="str">
        <f t="shared" si="12"/>
        <v>2026-06</v>
      </c>
      <c r="D307" t="s">
        <v>46</v>
      </c>
      <c r="E307" t="s">
        <v>17</v>
      </c>
      <c r="F307" t="s">
        <v>30</v>
      </c>
      <c r="G307" t="s">
        <v>31</v>
      </c>
      <c r="H307" t="s">
        <v>20</v>
      </c>
      <c r="I307" s="2">
        <v>226.2</v>
      </c>
      <c r="J307" s="2">
        <v>63.1</v>
      </c>
      <c r="K307" s="3">
        <f t="shared" si="13"/>
        <v>14.273219999999998</v>
      </c>
      <c r="L307" t="s">
        <v>78</v>
      </c>
      <c r="M307" s="4">
        <v>8.0000000000000002E-3</v>
      </c>
      <c r="N307" s="5">
        <f t="shared" si="14"/>
        <v>0</v>
      </c>
      <c r="O307" t="s">
        <v>44</v>
      </c>
    </row>
    <row r="308" spans="1:15" x14ac:dyDescent="0.3">
      <c r="A308" t="s">
        <v>382</v>
      </c>
      <c r="B308" s="1">
        <v>46179.677083333336</v>
      </c>
      <c r="C308" t="str">
        <f t="shared" si="12"/>
        <v>2026-06</v>
      </c>
      <c r="D308" t="s">
        <v>51</v>
      </c>
      <c r="E308" t="s">
        <v>29</v>
      </c>
      <c r="F308" t="s">
        <v>63</v>
      </c>
      <c r="G308" t="s">
        <v>67</v>
      </c>
      <c r="H308" t="s">
        <v>20</v>
      </c>
      <c r="I308" s="2">
        <v>136.4</v>
      </c>
      <c r="J308" s="2">
        <v>230.1</v>
      </c>
      <c r="K308" s="3">
        <f t="shared" si="13"/>
        <v>31.385639999999999</v>
      </c>
      <c r="L308" t="s">
        <v>43</v>
      </c>
      <c r="M308" s="4">
        <v>0.02</v>
      </c>
      <c r="N308" s="5">
        <f t="shared" si="14"/>
        <v>0</v>
      </c>
      <c r="O308" t="s">
        <v>79</v>
      </c>
    </row>
    <row r="309" spans="1:15" x14ac:dyDescent="0.3">
      <c r="A309" t="s">
        <v>383</v>
      </c>
      <c r="B309" s="1">
        <v>46201.34375</v>
      </c>
      <c r="C309" t="str">
        <f t="shared" si="12"/>
        <v>2026-06</v>
      </c>
      <c r="D309" t="s">
        <v>16</v>
      </c>
      <c r="E309" t="s">
        <v>47</v>
      </c>
      <c r="F309" t="s">
        <v>37</v>
      </c>
      <c r="G309" t="s">
        <v>70</v>
      </c>
      <c r="H309" t="s">
        <v>32</v>
      </c>
      <c r="I309" s="2">
        <v>133.80000000000001</v>
      </c>
      <c r="J309" s="2">
        <v>127.1</v>
      </c>
      <c r="K309" s="3">
        <f t="shared" si="13"/>
        <v>17.005980000000001</v>
      </c>
      <c r="L309" t="s">
        <v>43</v>
      </c>
      <c r="M309" s="4">
        <v>1.2E-2</v>
      </c>
      <c r="N309" s="5">
        <f t="shared" si="14"/>
        <v>0</v>
      </c>
      <c r="O309" t="s">
        <v>39</v>
      </c>
    </row>
    <row r="310" spans="1:15" x14ac:dyDescent="0.3">
      <c r="A310" t="s">
        <v>384</v>
      </c>
      <c r="B310" s="1">
        <v>46203.666666666664</v>
      </c>
      <c r="C310" t="str">
        <f t="shared" si="12"/>
        <v>2026-06</v>
      </c>
      <c r="D310" t="s">
        <v>69</v>
      </c>
      <c r="E310" t="s">
        <v>17</v>
      </c>
      <c r="F310" t="s">
        <v>63</v>
      </c>
      <c r="G310" t="s">
        <v>122</v>
      </c>
      <c r="H310" t="s">
        <v>49</v>
      </c>
      <c r="I310" s="2">
        <v>184</v>
      </c>
      <c r="J310" s="2">
        <v>102</v>
      </c>
      <c r="K310" s="3">
        <f t="shared" si="13"/>
        <v>18.768000000000001</v>
      </c>
      <c r="L310" t="s">
        <v>55</v>
      </c>
      <c r="M310" s="4">
        <v>1.4999999999999999E-2</v>
      </c>
      <c r="N310" s="5">
        <f t="shared" si="14"/>
        <v>0</v>
      </c>
      <c r="O310" t="s">
        <v>33</v>
      </c>
    </row>
    <row r="311" spans="1:15" x14ac:dyDescent="0.3">
      <c r="A311" t="s">
        <v>385</v>
      </c>
      <c r="B311" s="1">
        <v>46202.447916666664</v>
      </c>
      <c r="C311" t="str">
        <f t="shared" si="12"/>
        <v>2026-06</v>
      </c>
      <c r="D311" t="s">
        <v>69</v>
      </c>
      <c r="E311" t="s">
        <v>29</v>
      </c>
      <c r="F311" t="s">
        <v>25</v>
      </c>
      <c r="G311" t="s">
        <v>64</v>
      </c>
      <c r="H311" t="s">
        <v>59</v>
      </c>
      <c r="I311" s="2">
        <v>118.7</v>
      </c>
      <c r="J311" s="2">
        <v>53.8</v>
      </c>
      <c r="K311" s="3">
        <f t="shared" si="13"/>
        <v>6.3860599999999996</v>
      </c>
      <c r="L311" t="s">
        <v>78</v>
      </c>
      <c r="M311" s="4">
        <v>8.0000000000000002E-3</v>
      </c>
      <c r="N311" s="5">
        <f t="shared" si="14"/>
        <v>0</v>
      </c>
      <c r="O311" t="s">
        <v>79</v>
      </c>
    </row>
    <row r="312" spans="1:15" x14ac:dyDescent="0.3">
      <c r="A312" t="s">
        <v>386</v>
      </c>
      <c r="B312" s="1">
        <v>46179.427083333336</v>
      </c>
      <c r="C312" t="str">
        <f t="shared" si="12"/>
        <v>2026-06</v>
      </c>
      <c r="D312" t="s">
        <v>24</v>
      </c>
      <c r="E312" t="s">
        <v>29</v>
      </c>
      <c r="F312" t="s">
        <v>37</v>
      </c>
      <c r="G312" t="s">
        <v>38</v>
      </c>
      <c r="H312" t="s">
        <v>61</v>
      </c>
      <c r="I312" s="2">
        <v>145.69999999999999</v>
      </c>
      <c r="J312" s="2">
        <v>116</v>
      </c>
      <c r="K312" s="3">
        <f t="shared" si="13"/>
        <v>16.901199999999996</v>
      </c>
      <c r="L312" t="s">
        <v>21</v>
      </c>
      <c r="M312" s="4">
        <v>1.2E-2</v>
      </c>
      <c r="N312" s="5">
        <f t="shared" si="14"/>
        <v>202.81439999999995</v>
      </c>
      <c r="O312" t="s">
        <v>33</v>
      </c>
    </row>
    <row r="313" spans="1:15" x14ac:dyDescent="0.3">
      <c r="A313" t="s">
        <v>387</v>
      </c>
      <c r="B313" s="1">
        <v>46180.552083333336</v>
      </c>
      <c r="C313" t="str">
        <f t="shared" si="12"/>
        <v>2026-06</v>
      </c>
      <c r="D313" t="s">
        <v>16</v>
      </c>
      <c r="E313" t="s">
        <v>36</v>
      </c>
      <c r="F313" t="s">
        <v>30</v>
      </c>
      <c r="G313" t="s">
        <v>42</v>
      </c>
      <c r="H313" t="s">
        <v>74</v>
      </c>
      <c r="I313" s="2">
        <v>91.8</v>
      </c>
      <c r="J313" s="2">
        <v>40.4</v>
      </c>
      <c r="K313" s="3">
        <f t="shared" si="13"/>
        <v>3.70872</v>
      </c>
      <c r="L313" t="s">
        <v>43</v>
      </c>
      <c r="M313" s="4">
        <v>8.0000000000000002E-3</v>
      </c>
      <c r="N313" s="5">
        <f t="shared" si="14"/>
        <v>0</v>
      </c>
      <c r="O313" t="s">
        <v>39</v>
      </c>
    </row>
    <row r="314" spans="1:15" x14ac:dyDescent="0.3">
      <c r="A314" t="s">
        <v>388</v>
      </c>
      <c r="B314" s="1">
        <v>46192.71875</v>
      </c>
      <c r="C314" t="str">
        <f t="shared" si="12"/>
        <v>2026-06</v>
      </c>
      <c r="D314" t="s">
        <v>24</v>
      </c>
      <c r="E314" t="s">
        <v>47</v>
      </c>
      <c r="F314" t="s">
        <v>25</v>
      </c>
      <c r="G314" t="s">
        <v>26</v>
      </c>
      <c r="H314" t="s">
        <v>27</v>
      </c>
      <c r="I314" s="2">
        <v>101.8</v>
      </c>
      <c r="J314" s="2">
        <v>85.8</v>
      </c>
      <c r="K314" s="3">
        <f t="shared" si="13"/>
        <v>8.7344399999999993</v>
      </c>
      <c r="L314" t="s">
        <v>55</v>
      </c>
      <c r="M314" s="4">
        <v>1.2E-2</v>
      </c>
      <c r="N314" s="5">
        <f t="shared" si="14"/>
        <v>0</v>
      </c>
      <c r="O314" t="s">
        <v>22</v>
      </c>
    </row>
    <row r="315" spans="1:15" x14ac:dyDescent="0.3">
      <c r="A315" t="s">
        <v>389</v>
      </c>
      <c r="B315" s="1">
        <v>46180.666666666664</v>
      </c>
      <c r="C315" t="str">
        <f t="shared" si="12"/>
        <v>2026-06</v>
      </c>
      <c r="D315" t="s">
        <v>46</v>
      </c>
      <c r="E315" t="s">
        <v>47</v>
      </c>
      <c r="F315" t="s">
        <v>25</v>
      </c>
      <c r="G315" t="s">
        <v>64</v>
      </c>
      <c r="H315" t="s">
        <v>32</v>
      </c>
      <c r="I315" s="2">
        <v>96.5</v>
      </c>
      <c r="J315" s="2">
        <v>121.4</v>
      </c>
      <c r="K315" s="3">
        <f t="shared" si="13"/>
        <v>11.7151</v>
      </c>
      <c r="L315" t="s">
        <v>21</v>
      </c>
      <c r="M315" s="4">
        <v>0.02</v>
      </c>
      <c r="N315" s="5">
        <f t="shared" si="14"/>
        <v>234.30200000000002</v>
      </c>
      <c r="O315" t="s">
        <v>44</v>
      </c>
    </row>
    <row r="316" spans="1:15" x14ac:dyDescent="0.3">
      <c r="A316" t="s">
        <v>390</v>
      </c>
      <c r="B316" s="1">
        <v>46195.59375</v>
      </c>
      <c r="C316" t="str">
        <f t="shared" si="12"/>
        <v>2026-06</v>
      </c>
      <c r="D316" t="s">
        <v>46</v>
      </c>
      <c r="E316" t="s">
        <v>17</v>
      </c>
      <c r="F316" t="s">
        <v>52</v>
      </c>
      <c r="G316" t="s">
        <v>57</v>
      </c>
      <c r="H316" t="s">
        <v>74</v>
      </c>
      <c r="I316" s="2">
        <v>128.30000000000001</v>
      </c>
      <c r="J316" s="2">
        <v>108.6</v>
      </c>
      <c r="K316" s="3">
        <f t="shared" si="13"/>
        <v>13.933380000000001</v>
      </c>
      <c r="L316" t="s">
        <v>78</v>
      </c>
      <c r="M316" s="4">
        <v>0.01</v>
      </c>
      <c r="N316" s="5">
        <f t="shared" si="14"/>
        <v>0</v>
      </c>
      <c r="O316" t="s">
        <v>44</v>
      </c>
    </row>
    <row r="317" spans="1:15" x14ac:dyDescent="0.3">
      <c r="A317" t="s">
        <v>391</v>
      </c>
      <c r="B317" s="1">
        <v>46184.385416666664</v>
      </c>
      <c r="C317" t="str">
        <f t="shared" si="12"/>
        <v>2026-06</v>
      </c>
      <c r="D317" t="s">
        <v>24</v>
      </c>
      <c r="E317" t="s">
        <v>41</v>
      </c>
      <c r="F317" t="s">
        <v>63</v>
      </c>
      <c r="G317" t="s">
        <v>88</v>
      </c>
      <c r="H317" t="s">
        <v>32</v>
      </c>
      <c r="I317" s="2">
        <v>120.9</v>
      </c>
      <c r="J317" s="2">
        <v>238.6</v>
      </c>
      <c r="K317" s="3">
        <f t="shared" si="13"/>
        <v>28.84674</v>
      </c>
      <c r="L317" t="s">
        <v>21</v>
      </c>
      <c r="M317" s="4">
        <v>1.4999999999999999E-2</v>
      </c>
      <c r="N317" s="5">
        <f t="shared" si="14"/>
        <v>432.7011</v>
      </c>
      <c r="O317" t="s">
        <v>44</v>
      </c>
    </row>
    <row r="318" spans="1:15" x14ac:dyDescent="0.3">
      <c r="A318" t="s">
        <v>392</v>
      </c>
      <c r="B318" s="1">
        <v>46184.53125</v>
      </c>
      <c r="C318" t="str">
        <f t="shared" si="12"/>
        <v>2026-06</v>
      </c>
      <c r="D318" t="s">
        <v>69</v>
      </c>
      <c r="E318" t="s">
        <v>29</v>
      </c>
      <c r="F318" t="s">
        <v>18</v>
      </c>
      <c r="G318" t="s">
        <v>48</v>
      </c>
      <c r="H318" t="s">
        <v>81</v>
      </c>
      <c r="I318" s="2">
        <v>229.9</v>
      </c>
      <c r="J318" s="2">
        <v>143.19999999999999</v>
      </c>
      <c r="K318" s="3">
        <f t="shared" si="13"/>
        <v>32.921680000000002</v>
      </c>
      <c r="L318" t="s">
        <v>21</v>
      </c>
      <c r="M318" s="4">
        <v>0.01</v>
      </c>
      <c r="N318" s="5">
        <f t="shared" si="14"/>
        <v>329.21680000000003</v>
      </c>
      <c r="O318" t="s">
        <v>79</v>
      </c>
    </row>
    <row r="319" spans="1:15" x14ac:dyDescent="0.3">
      <c r="A319" t="s">
        <v>393</v>
      </c>
      <c r="B319" s="1">
        <v>46200.416666666664</v>
      </c>
      <c r="C319" t="str">
        <f t="shared" si="12"/>
        <v>2026-06</v>
      </c>
      <c r="D319" t="s">
        <v>69</v>
      </c>
      <c r="E319" t="s">
        <v>36</v>
      </c>
      <c r="F319" t="s">
        <v>63</v>
      </c>
      <c r="G319" t="s">
        <v>64</v>
      </c>
      <c r="H319" t="s">
        <v>65</v>
      </c>
      <c r="I319" s="2">
        <v>169.8</v>
      </c>
      <c r="J319" s="2">
        <v>213.6</v>
      </c>
      <c r="K319" s="3">
        <f t="shared" si="13"/>
        <v>36.269280000000002</v>
      </c>
      <c r="L319" t="s">
        <v>78</v>
      </c>
      <c r="M319" s="4">
        <v>1.4999999999999999E-2</v>
      </c>
      <c r="N319" s="5">
        <f t="shared" si="14"/>
        <v>0</v>
      </c>
      <c r="O319" t="s">
        <v>33</v>
      </c>
    </row>
    <row r="320" spans="1:15" x14ac:dyDescent="0.3">
      <c r="A320" t="s">
        <v>394</v>
      </c>
      <c r="B320" s="1">
        <v>46182.479166666664</v>
      </c>
      <c r="C320" t="str">
        <f t="shared" si="12"/>
        <v>2026-06</v>
      </c>
      <c r="D320" t="s">
        <v>73</v>
      </c>
      <c r="E320" t="s">
        <v>41</v>
      </c>
      <c r="F320" t="s">
        <v>25</v>
      </c>
      <c r="G320" t="s">
        <v>67</v>
      </c>
      <c r="H320" t="s">
        <v>32</v>
      </c>
      <c r="I320" s="2">
        <v>133</v>
      </c>
      <c r="J320" s="2">
        <v>102.8</v>
      </c>
      <c r="K320" s="3">
        <f t="shared" si="13"/>
        <v>13.6724</v>
      </c>
      <c r="L320" t="s">
        <v>21</v>
      </c>
      <c r="M320" s="4">
        <v>1.4999999999999999E-2</v>
      </c>
      <c r="N320" s="5">
        <f t="shared" si="14"/>
        <v>205.08599999999998</v>
      </c>
      <c r="O320" t="s">
        <v>33</v>
      </c>
    </row>
    <row r="321" spans="1:15" x14ac:dyDescent="0.3">
      <c r="A321" t="s">
        <v>395</v>
      </c>
      <c r="B321" s="1">
        <v>46188.458333333336</v>
      </c>
      <c r="C321" t="str">
        <f t="shared" si="12"/>
        <v>2026-06</v>
      </c>
      <c r="D321" t="s">
        <v>73</v>
      </c>
      <c r="E321" t="s">
        <v>36</v>
      </c>
      <c r="F321" t="s">
        <v>30</v>
      </c>
      <c r="G321" t="s">
        <v>42</v>
      </c>
      <c r="H321" t="s">
        <v>71</v>
      </c>
      <c r="I321" s="2">
        <v>72.599999999999994</v>
      </c>
      <c r="J321" s="2">
        <v>19.7</v>
      </c>
      <c r="K321" s="3">
        <f t="shared" si="13"/>
        <v>1.4302199999999998</v>
      </c>
      <c r="L321" t="s">
        <v>21</v>
      </c>
      <c r="M321" s="4">
        <v>1.4999999999999999E-2</v>
      </c>
      <c r="N321" s="5">
        <f t="shared" si="14"/>
        <v>21.453299999999999</v>
      </c>
      <c r="O321" t="s">
        <v>39</v>
      </c>
    </row>
    <row r="322" spans="1:15" x14ac:dyDescent="0.3">
      <c r="A322" t="s">
        <v>396</v>
      </c>
      <c r="B322" s="1">
        <v>46191.59375</v>
      </c>
      <c r="C322" t="str">
        <f t="shared" si="12"/>
        <v>2026-06</v>
      </c>
      <c r="D322" t="s">
        <v>73</v>
      </c>
      <c r="E322" t="s">
        <v>47</v>
      </c>
      <c r="F322" t="s">
        <v>30</v>
      </c>
      <c r="G322" t="s">
        <v>139</v>
      </c>
      <c r="H322" t="s">
        <v>85</v>
      </c>
      <c r="I322" s="2">
        <v>115.2</v>
      </c>
      <c r="J322" s="2">
        <v>58.4</v>
      </c>
      <c r="K322" s="3">
        <f t="shared" si="13"/>
        <v>6.7276800000000003</v>
      </c>
      <c r="L322" t="s">
        <v>78</v>
      </c>
      <c r="M322" s="4">
        <v>1.2E-2</v>
      </c>
      <c r="N322" s="5">
        <f t="shared" si="14"/>
        <v>0</v>
      </c>
      <c r="O322" t="s">
        <v>33</v>
      </c>
    </row>
    <row r="323" spans="1:15" x14ac:dyDescent="0.3">
      <c r="A323" t="s">
        <v>397</v>
      </c>
      <c r="B323" s="1">
        <v>46196.78125</v>
      </c>
      <c r="C323" t="str">
        <f t="shared" ref="C323:C386" si="15">TEXT(B323,"yyyy-mm")</f>
        <v>2026-06</v>
      </c>
      <c r="D323" t="s">
        <v>73</v>
      </c>
      <c r="E323" t="s">
        <v>41</v>
      </c>
      <c r="F323" t="s">
        <v>25</v>
      </c>
      <c r="G323" t="s">
        <v>64</v>
      </c>
      <c r="H323" t="s">
        <v>65</v>
      </c>
      <c r="I323" s="2">
        <v>118.8</v>
      </c>
      <c r="J323" s="2">
        <v>81</v>
      </c>
      <c r="K323" s="3">
        <f t="shared" ref="K323:K386" si="16">I323*J323/1000</f>
        <v>9.6227999999999998</v>
      </c>
      <c r="L323" t="s">
        <v>55</v>
      </c>
      <c r="M323" s="4">
        <v>1.2E-2</v>
      </c>
      <c r="N323" s="5">
        <f t="shared" ref="N323:N386" si="17">IF(L323="Đã bán",K323*M323*1000,0)</f>
        <v>0</v>
      </c>
      <c r="O323" t="s">
        <v>44</v>
      </c>
    </row>
    <row r="324" spans="1:15" x14ac:dyDescent="0.3">
      <c r="A324" t="s">
        <v>398</v>
      </c>
      <c r="B324" s="1">
        <v>46188.40625</v>
      </c>
      <c r="C324" t="str">
        <f t="shared" si="15"/>
        <v>2026-06</v>
      </c>
      <c r="D324" t="s">
        <v>73</v>
      </c>
      <c r="E324" t="s">
        <v>36</v>
      </c>
      <c r="F324" t="s">
        <v>30</v>
      </c>
      <c r="G324" t="s">
        <v>133</v>
      </c>
      <c r="H324" t="s">
        <v>61</v>
      </c>
      <c r="I324" s="2">
        <v>141.4</v>
      </c>
      <c r="J324" s="2">
        <v>27.4</v>
      </c>
      <c r="K324" s="3">
        <f t="shared" si="16"/>
        <v>3.8743600000000002</v>
      </c>
      <c r="L324" t="s">
        <v>78</v>
      </c>
      <c r="M324" s="4">
        <v>8.0000000000000002E-3</v>
      </c>
      <c r="N324" s="5">
        <f t="shared" si="17"/>
        <v>0</v>
      </c>
      <c r="O324" t="s">
        <v>33</v>
      </c>
    </row>
    <row r="325" spans="1:15" x14ac:dyDescent="0.3">
      <c r="A325" t="s">
        <v>399</v>
      </c>
      <c r="B325" s="1">
        <v>46189.770833333336</v>
      </c>
      <c r="C325" t="str">
        <f t="shared" si="15"/>
        <v>2026-06</v>
      </c>
      <c r="D325" t="s">
        <v>69</v>
      </c>
      <c r="E325" t="s">
        <v>36</v>
      </c>
      <c r="F325" t="s">
        <v>37</v>
      </c>
      <c r="G325" t="s">
        <v>70</v>
      </c>
      <c r="H325" t="s">
        <v>81</v>
      </c>
      <c r="I325" s="2">
        <v>161.69999999999999</v>
      </c>
      <c r="J325" s="2">
        <v>116</v>
      </c>
      <c r="K325" s="3">
        <f t="shared" si="16"/>
        <v>18.757199999999997</v>
      </c>
      <c r="L325" t="s">
        <v>21</v>
      </c>
      <c r="M325" s="4">
        <v>8.0000000000000002E-3</v>
      </c>
      <c r="N325" s="5">
        <f t="shared" si="17"/>
        <v>150.05759999999998</v>
      </c>
      <c r="O325" t="s">
        <v>79</v>
      </c>
    </row>
    <row r="326" spans="1:15" x14ac:dyDescent="0.3">
      <c r="A326" t="s">
        <v>400</v>
      </c>
      <c r="B326" s="1">
        <v>46192.395833333336</v>
      </c>
      <c r="C326" t="str">
        <f t="shared" si="15"/>
        <v>2026-06</v>
      </c>
      <c r="D326" t="s">
        <v>24</v>
      </c>
      <c r="E326" t="s">
        <v>41</v>
      </c>
      <c r="F326" t="s">
        <v>37</v>
      </c>
      <c r="G326" t="s">
        <v>156</v>
      </c>
      <c r="H326" t="s">
        <v>32</v>
      </c>
      <c r="I326" s="2">
        <v>176.5</v>
      </c>
      <c r="J326" s="2">
        <v>142.69999999999999</v>
      </c>
      <c r="K326" s="3">
        <f t="shared" si="16"/>
        <v>25.18655</v>
      </c>
      <c r="L326" t="s">
        <v>21</v>
      </c>
      <c r="M326" s="4">
        <v>8.0000000000000002E-3</v>
      </c>
      <c r="N326" s="5">
        <f t="shared" si="17"/>
        <v>201.4924</v>
      </c>
      <c r="O326" t="s">
        <v>33</v>
      </c>
    </row>
    <row r="327" spans="1:15" x14ac:dyDescent="0.3">
      <c r="A327" t="s">
        <v>401</v>
      </c>
      <c r="B327" s="1">
        <v>46199.760416666664</v>
      </c>
      <c r="C327" t="str">
        <f t="shared" si="15"/>
        <v>2026-06</v>
      </c>
      <c r="D327" t="s">
        <v>16</v>
      </c>
      <c r="E327" t="s">
        <v>47</v>
      </c>
      <c r="F327" t="s">
        <v>52</v>
      </c>
      <c r="G327" t="s">
        <v>53</v>
      </c>
      <c r="H327" t="s">
        <v>54</v>
      </c>
      <c r="I327" s="2">
        <v>89.7</v>
      </c>
      <c r="J327" s="2">
        <v>152.4</v>
      </c>
      <c r="K327" s="3">
        <f t="shared" si="16"/>
        <v>13.67028</v>
      </c>
      <c r="L327" t="s">
        <v>43</v>
      </c>
      <c r="M327" s="4">
        <v>8.0000000000000002E-3</v>
      </c>
      <c r="N327" s="5">
        <f t="shared" si="17"/>
        <v>0</v>
      </c>
      <c r="O327" t="s">
        <v>79</v>
      </c>
    </row>
    <row r="328" spans="1:15" x14ac:dyDescent="0.3">
      <c r="A328" t="s">
        <v>402</v>
      </c>
      <c r="B328" s="1">
        <v>46191.395833333336</v>
      </c>
      <c r="C328" t="str">
        <f t="shared" si="15"/>
        <v>2026-06</v>
      </c>
      <c r="D328" t="s">
        <v>51</v>
      </c>
      <c r="E328" t="s">
        <v>36</v>
      </c>
      <c r="F328" t="s">
        <v>63</v>
      </c>
      <c r="G328" t="s">
        <v>67</v>
      </c>
      <c r="H328" t="s">
        <v>61</v>
      </c>
      <c r="I328" s="2">
        <v>128.1</v>
      </c>
      <c r="J328" s="2">
        <v>191.3</v>
      </c>
      <c r="K328" s="3">
        <f t="shared" si="16"/>
        <v>24.50553</v>
      </c>
      <c r="L328" t="s">
        <v>21</v>
      </c>
      <c r="M328" s="4">
        <v>0.01</v>
      </c>
      <c r="N328" s="5">
        <f t="shared" si="17"/>
        <v>245.05530000000002</v>
      </c>
      <c r="O328" t="s">
        <v>22</v>
      </c>
    </row>
    <row r="329" spans="1:15" x14ac:dyDescent="0.3">
      <c r="A329" t="s">
        <v>403</v>
      </c>
      <c r="B329" s="1">
        <v>46174.40625</v>
      </c>
      <c r="C329" t="str">
        <f t="shared" si="15"/>
        <v>2026-06</v>
      </c>
      <c r="D329" t="s">
        <v>69</v>
      </c>
      <c r="E329" t="s">
        <v>29</v>
      </c>
      <c r="F329" t="s">
        <v>30</v>
      </c>
      <c r="G329" t="s">
        <v>42</v>
      </c>
      <c r="H329" t="s">
        <v>85</v>
      </c>
      <c r="I329" s="2">
        <v>111</v>
      </c>
      <c r="J329" s="2">
        <v>47</v>
      </c>
      <c r="K329" s="3">
        <f t="shared" si="16"/>
        <v>5.2169999999999996</v>
      </c>
      <c r="L329" t="s">
        <v>78</v>
      </c>
      <c r="M329" s="4">
        <v>1.2E-2</v>
      </c>
      <c r="N329" s="5">
        <f t="shared" si="17"/>
        <v>0</v>
      </c>
      <c r="O329" t="s">
        <v>39</v>
      </c>
    </row>
    <row r="330" spans="1:15" x14ac:dyDescent="0.3">
      <c r="A330" t="s">
        <v>404</v>
      </c>
      <c r="B330" s="1">
        <v>46191.739583333336</v>
      </c>
      <c r="C330" t="str">
        <f t="shared" si="15"/>
        <v>2026-06</v>
      </c>
      <c r="D330" t="s">
        <v>35</v>
      </c>
      <c r="E330" t="s">
        <v>47</v>
      </c>
      <c r="F330" t="s">
        <v>37</v>
      </c>
      <c r="G330" t="s">
        <v>156</v>
      </c>
      <c r="H330" t="s">
        <v>59</v>
      </c>
      <c r="I330" s="2">
        <v>101.5</v>
      </c>
      <c r="J330" s="2">
        <v>141.9</v>
      </c>
      <c r="K330" s="3">
        <f t="shared" si="16"/>
        <v>14.402850000000001</v>
      </c>
      <c r="L330" t="s">
        <v>43</v>
      </c>
      <c r="M330" s="4">
        <v>8.0000000000000002E-3</v>
      </c>
      <c r="N330" s="5">
        <f t="shared" si="17"/>
        <v>0</v>
      </c>
      <c r="O330" t="s">
        <v>33</v>
      </c>
    </row>
    <row r="331" spans="1:15" x14ac:dyDescent="0.3">
      <c r="A331" t="s">
        <v>405</v>
      </c>
      <c r="B331" s="1">
        <v>46182.604166666664</v>
      </c>
      <c r="C331" t="str">
        <f t="shared" si="15"/>
        <v>2026-06</v>
      </c>
      <c r="D331" t="s">
        <v>46</v>
      </c>
      <c r="E331" t="s">
        <v>41</v>
      </c>
      <c r="F331" t="s">
        <v>25</v>
      </c>
      <c r="G331" t="s">
        <v>64</v>
      </c>
      <c r="H331" t="s">
        <v>71</v>
      </c>
      <c r="I331" s="2">
        <v>72.5</v>
      </c>
      <c r="J331" s="2">
        <v>69</v>
      </c>
      <c r="K331" s="3">
        <f t="shared" si="16"/>
        <v>5.0025000000000004</v>
      </c>
      <c r="L331" t="s">
        <v>43</v>
      </c>
      <c r="M331" s="4">
        <v>1.4999999999999999E-2</v>
      </c>
      <c r="N331" s="5">
        <f t="shared" si="17"/>
        <v>0</v>
      </c>
      <c r="O331" t="s">
        <v>33</v>
      </c>
    </row>
    <row r="332" spans="1:15" x14ac:dyDescent="0.3">
      <c r="A332" t="s">
        <v>406</v>
      </c>
      <c r="B332" s="1">
        <v>46195.666666666664</v>
      </c>
      <c r="C332" t="str">
        <f t="shared" si="15"/>
        <v>2026-06</v>
      </c>
      <c r="D332" t="s">
        <v>35</v>
      </c>
      <c r="E332" t="s">
        <v>29</v>
      </c>
      <c r="F332" t="s">
        <v>37</v>
      </c>
      <c r="G332" t="s">
        <v>38</v>
      </c>
      <c r="H332" t="s">
        <v>71</v>
      </c>
      <c r="I332" s="2">
        <v>125.4</v>
      </c>
      <c r="J332" s="2">
        <v>194.3</v>
      </c>
      <c r="K332" s="3">
        <f t="shared" si="16"/>
        <v>24.365220000000001</v>
      </c>
      <c r="L332" t="s">
        <v>21</v>
      </c>
      <c r="M332" s="4">
        <v>1.2E-2</v>
      </c>
      <c r="N332" s="5">
        <f t="shared" si="17"/>
        <v>292.38264000000004</v>
      </c>
      <c r="O332" t="s">
        <v>44</v>
      </c>
    </row>
    <row r="333" spans="1:15" x14ac:dyDescent="0.3">
      <c r="A333" t="s">
        <v>407</v>
      </c>
      <c r="B333" s="1">
        <v>46182.770833333336</v>
      </c>
      <c r="C333" t="str">
        <f t="shared" si="15"/>
        <v>2026-06</v>
      </c>
      <c r="D333" t="s">
        <v>24</v>
      </c>
      <c r="E333" t="s">
        <v>41</v>
      </c>
      <c r="F333" t="s">
        <v>18</v>
      </c>
      <c r="G333" t="s">
        <v>19</v>
      </c>
      <c r="H333" t="s">
        <v>81</v>
      </c>
      <c r="I333" s="2">
        <v>455.7</v>
      </c>
      <c r="J333" s="2">
        <v>143</v>
      </c>
      <c r="K333" s="3">
        <f t="shared" si="16"/>
        <v>65.165099999999995</v>
      </c>
      <c r="L333" t="s">
        <v>21</v>
      </c>
      <c r="M333" s="4">
        <v>0.02</v>
      </c>
      <c r="N333" s="5">
        <f t="shared" si="17"/>
        <v>1303.3019999999999</v>
      </c>
      <c r="O333" t="s">
        <v>44</v>
      </c>
    </row>
    <row r="334" spans="1:15" x14ac:dyDescent="0.3">
      <c r="A334" t="s">
        <v>408</v>
      </c>
      <c r="B334" s="1">
        <v>46182.635416666664</v>
      </c>
      <c r="C334" t="str">
        <f t="shared" si="15"/>
        <v>2026-06</v>
      </c>
      <c r="D334" t="s">
        <v>73</v>
      </c>
      <c r="E334" t="s">
        <v>41</v>
      </c>
      <c r="F334" t="s">
        <v>30</v>
      </c>
      <c r="G334" t="s">
        <v>139</v>
      </c>
      <c r="H334" t="s">
        <v>71</v>
      </c>
      <c r="I334" s="2">
        <v>97.1</v>
      </c>
      <c r="J334" s="2">
        <v>25.3</v>
      </c>
      <c r="K334" s="3">
        <f t="shared" si="16"/>
        <v>2.4566300000000001</v>
      </c>
      <c r="L334" t="s">
        <v>21</v>
      </c>
      <c r="M334" s="4">
        <v>1.2E-2</v>
      </c>
      <c r="N334" s="5">
        <f t="shared" si="17"/>
        <v>29.479560000000003</v>
      </c>
      <c r="O334" t="s">
        <v>44</v>
      </c>
    </row>
    <row r="335" spans="1:15" x14ac:dyDescent="0.3">
      <c r="A335" t="s">
        <v>409</v>
      </c>
      <c r="B335" s="1">
        <v>46186.416666666664</v>
      </c>
      <c r="C335" t="str">
        <f t="shared" si="15"/>
        <v>2026-06</v>
      </c>
      <c r="D335" t="s">
        <v>69</v>
      </c>
      <c r="E335" t="s">
        <v>41</v>
      </c>
      <c r="F335" t="s">
        <v>18</v>
      </c>
      <c r="G335" t="s">
        <v>84</v>
      </c>
      <c r="H335" t="s">
        <v>74</v>
      </c>
      <c r="I335" s="2">
        <v>439.6</v>
      </c>
      <c r="J335" s="2">
        <v>179.3</v>
      </c>
      <c r="K335" s="3">
        <f t="shared" si="16"/>
        <v>78.820280000000011</v>
      </c>
      <c r="L335" t="s">
        <v>21</v>
      </c>
      <c r="M335" s="4">
        <v>8.0000000000000002E-3</v>
      </c>
      <c r="N335" s="5">
        <f t="shared" si="17"/>
        <v>630.56224000000009</v>
      </c>
      <c r="O335" t="s">
        <v>39</v>
      </c>
    </row>
    <row r="336" spans="1:15" x14ac:dyDescent="0.3">
      <c r="A336" t="s">
        <v>410</v>
      </c>
      <c r="B336" s="1">
        <v>46194.458333333336</v>
      </c>
      <c r="C336" t="str">
        <f t="shared" si="15"/>
        <v>2026-06</v>
      </c>
      <c r="D336" t="s">
        <v>73</v>
      </c>
      <c r="E336" t="s">
        <v>47</v>
      </c>
      <c r="F336" t="s">
        <v>25</v>
      </c>
      <c r="G336" t="s">
        <v>67</v>
      </c>
      <c r="H336" t="s">
        <v>32</v>
      </c>
      <c r="I336" s="2">
        <v>100.5</v>
      </c>
      <c r="J336" s="2">
        <v>83.1</v>
      </c>
      <c r="K336" s="3">
        <f t="shared" si="16"/>
        <v>8.3515499999999996</v>
      </c>
      <c r="L336" t="s">
        <v>55</v>
      </c>
      <c r="M336" s="4">
        <v>0.01</v>
      </c>
      <c r="N336" s="5">
        <f t="shared" si="17"/>
        <v>0</v>
      </c>
      <c r="O336" t="s">
        <v>44</v>
      </c>
    </row>
    <row r="337" spans="1:15" x14ac:dyDescent="0.3">
      <c r="A337" t="s">
        <v>411</v>
      </c>
      <c r="B337" s="1">
        <v>46175.479166666664</v>
      </c>
      <c r="C337" t="str">
        <f t="shared" si="15"/>
        <v>2026-06</v>
      </c>
      <c r="D337" t="s">
        <v>69</v>
      </c>
      <c r="E337" t="s">
        <v>41</v>
      </c>
      <c r="F337" t="s">
        <v>30</v>
      </c>
      <c r="G337" t="s">
        <v>42</v>
      </c>
      <c r="H337" t="s">
        <v>74</v>
      </c>
      <c r="I337" s="2">
        <v>163.6</v>
      </c>
      <c r="J337" s="2">
        <v>49.3</v>
      </c>
      <c r="K337" s="3">
        <f t="shared" si="16"/>
        <v>8.0654799999999991</v>
      </c>
      <c r="L337" t="s">
        <v>21</v>
      </c>
      <c r="M337" s="4">
        <v>1.2E-2</v>
      </c>
      <c r="N337" s="5">
        <f t="shared" si="17"/>
        <v>96.785759999999982</v>
      </c>
      <c r="O337" t="s">
        <v>44</v>
      </c>
    </row>
    <row r="338" spans="1:15" x14ac:dyDescent="0.3">
      <c r="A338" t="s">
        <v>412</v>
      </c>
      <c r="B338" s="1">
        <v>46182.59375</v>
      </c>
      <c r="C338" t="str">
        <f t="shared" si="15"/>
        <v>2026-06</v>
      </c>
      <c r="D338" t="s">
        <v>16</v>
      </c>
      <c r="E338" t="s">
        <v>41</v>
      </c>
      <c r="F338" t="s">
        <v>52</v>
      </c>
      <c r="G338" t="s">
        <v>109</v>
      </c>
      <c r="H338" t="s">
        <v>85</v>
      </c>
      <c r="I338" s="2">
        <v>91.9</v>
      </c>
      <c r="J338" s="2">
        <v>155.1</v>
      </c>
      <c r="K338" s="3">
        <f t="shared" si="16"/>
        <v>14.253690000000001</v>
      </c>
      <c r="L338" t="s">
        <v>21</v>
      </c>
      <c r="M338" s="4">
        <v>0.02</v>
      </c>
      <c r="N338" s="5">
        <f t="shared" si="17"/>
        <v>285.07380000000006</v>
      </c>
      <c r="O338" t="s">
        <v>33</v>
      </c>
    </row>
    <row r="339" spans="1:15" x14ac:dyDescent="0.3">
      <c r="A339" t="s">
        <v>413</v>
      </c>
      <c r="B339" s="1">
        <v>46187.385416666664</v>
      </c>
      <c r="C339" t="str">
        <f t="shared" si="15"/>
        <v>2026-06</v>
      </c>
      <c r="D339" t="s">
        <v>51</v>
      </c>
      <c r="E339" t="s">
        <v>29</v>
      </c>
      <c r="F339" t="s">
        <v>63</v>
      </c>
      <c r="G339" t="s">
        <v>64</v>
      </c>
      <c r="H339" t="s">
        <v>85</v>
      </c>
      <c r="I339" s="2">
        <v>210.7</v>
      </c>
      <c r="J339" s="2">
        <v>131.69999999999999</v>
      </c>
      <c r="K339" s="3">
        <f t="shared" si="16"/>
        <v>27.749189999999995</v>
      </c>
      <c r="L339" t="s">
        <v>55</v>
      </c>
      <c r="M339" s="4">
        <v>1.2E-2</v>
      </c>
      <c r="N339" s="5">
        <f t="shared" si="17"/>
        <v>0</v>
      </c>
      <c r="O339" t="s">
        <v>39</v>
      </c>
    </row>
    <row r="340" spans="1:15" x14ac:dyDescent="0.3">
      <c r="A340" t="s">
        <v>414</v>
      </c>
      <c r="B340" s="1">
        <v>46203.770833333336</v>
      </c>
      <c r="C340" t="str">
        <f t="shared" si="15"/>
        <v>2026-06</v>
      </c>
      <c r="D340" t="s">
        <v>46</v>
      </c>
      <c r="E340" t="s">
        <v>29</v>
      </c>
      <c r="F340" t="s">
        <v>37</v>
      </c>
      <c r="G340" t="s">
        <v>38</v>
      </c>
      <c r="H340" t="s">
        <v>59</v>
      </c>
      <c r="I340" s="2">
        <v>153.69999999999999</v>
      </c>
      <c r="J340" s="2">
        <v>142.80000000000001</v>
      </c>
      <c r="K340" s="3">
        <f t="shared" si="16"/>
        <v>21.948360000000001</v>
      </c>
      <c r="L340" t="s">
        <v>43</v>
      </c>
      <c r="M340" s="4">
        <v>0.02</v>
      </c>
      <c r="N340" s="5">
        <f t="shared" si="17"/>
        <v>0</v>
      </c>
      <c r="O340" t="s">
        <v>33</v>
      </c>
    </row>
    <row r="341" spans="1:15" x14ac:dyDescent="0.3">
      <c r="A341" t="s">
        <v>415</v>
      </c>
      <c r="B341" s="1">
        <v>46192.40625</v>
      </c>
      <c r="C341" t="str">
        <f t="shared" si="15"/>
        <v>2026-06</v>
      </c>
      <c r="D341" t="s">
        <v>69</v>
      </c>
      <c r="E341" t="s">
        <v>17</v>
      </c>
      <c r="F341" t="s">
        <v>30</v>
      </c>
      <c r="G341" t="s">
        <v>42</v>
      </c>
      <c r="H341" t="s">
        <v>59</v>
      </c>
      <c r="I341" s="2">
        <v>195.1</v>
      </c>
      <c r="J341" s="2">
        <v>57.3</v>
      </c>
      <c r="K341" s="3">
        <f t="shared" si="16"/>
        <v>11.17923</v>
      </c>
      <c r="L341" t="s">
        <v>21</v>
      </c>
      <c r="M341" s="4">
        <v>0.02</v>
      </c>
      <c r="N341" s="5">
        <f t="shared" si="17"/>
        <v>223.58460000000002</v>
      </c>
      <c r="O341" t="s">
        <v>39</v>
      </c>
    </row>
    <row r="342" spans="1:15" x14ac:dyDescent="0.3">
      <c r="A342" t="s">
        <v>416</v>
      </c>
      <c r="B342" s="1">
        <v>46194.5625</v>
      </c>
      <c r="C342" t="str">
        <f t="shared" si="15"/>
        <v>2026-06</v>
      </c>
      <c r="D342" t="s">
        <v>107</v>
      </c>
      <c r="E342" t="s">
        <v>47</v>
      </c>
      <c r="F342" t="s">
        <v>63</v>
      </c>
      <c r="G342" t="s">
        <v>122</v>
      </c>
      <c r="H342" t="s">
        <v>65</v>
      </c>
      <c r="I342" s="2">
        <v>73.599999999999994</v>
      </c>
      <c r="J342" s="2">
        <v>164.3</v>
      </c>
      <c r="K342" s="3">
        <f t="shared" si="16"/>
        <v>12.09248</v>
      </c>
      <c r="L342" t="s">
        <v>21</v>
      </c>
      <c r="M342" s="4">
        <v>0.02</v>
      </c>
      <c r="N342" s="5">
        <f t="shared" si="17"/>
        <v>241.84960000000001</v>
      </c>
      <c r="O342" t="s">
        <v>44</v>
      </c>
    </row>
    <row r="343" spans="1:15" x14ac:dyDescent="0.3">
      <c r="A343" t="s">
        <v>417</v>
      </c>
      <c r="B343" s="1">
        <v>46196.583333333336</v>
      </c>
      <c r="C343" t="str">
        <f t="shared" si="15"/>
        <v>2026-06</v>
      </c>
      <c r="D343" t="s">
        <v>16</v>
      </c>
      <c r="E343" t="s">
        <v>36</v>
      </c>
      <c r="F343" t="s">
        <v>63</v>
      </c>
      <c r="G343" t="s">
        <v>64</v>
      </c>
      <c r="H343" t="s">
        <v>27</v>
      </c>
      <c r="I343" s="2">
        <v>112.4</v>
      </c>
      <c r="J343" s="2">
        <v>242.6</v>
      </c>
      <c r="K343" s="3">
        <f t="shared" si="16"/>
        <v>27.268240000000002</v>
      </c>
      <c r="L343" t="s">
        <v>43</v>
      </c>
      <c r="M343" s="4">
        <v>8.0000000000000002E-3</v>
      </c>
      <c r="N343" s="5">
        <f t="shared" si="17"/>
        <v>0</v>
      </c>
      <c r="O343" t="s">
        <v>44</v>
      </c>
    </row>
    <row r="344" spans="1:15" x14ac:dyDescent="0.3">
      <c r="A344" t="s">
        <v>418</v>
      </c>
      <c r="B344" s="1">
        <v>46192.708333333336</v>
      </c>
      <c r="C344" t="str">
        <f t="shared" si="15"/>
        <v>2026-06</v>
      </c>
      <c r="D344" t="s">
        <v>51</v>
      </c>
      <c r="E344" t="s">
        <v>47</v>
      </c>
      <c r="F344" t="s">
        <v>18</v>
      </c>
      <c r="G344" t="s">
        <v>64</v>
      </c>
      <c r="H344" t="s">
        <v>71</v>
      </c>
      <c r="I344" s="2">
        <v>463.5</v>
      </c>
      <c r="J344" s="2">
        <v>235</v>
      </c>
      <c r="K344" s="3">
        <f t="shared" si="16"/>
        <v>108.9225</v>
      </c>
      <c r="L344" t="s">
        <v>21</v>
      </c>
      <c r="M344" s="4">
        <v>8.0000000000000002E-3</v>
      </c>
      <c r="N344" s="5">
        <f t="shared" si="17"/>
        <v>871.38</v>
      </c>
      <c r="O344" t="s">
        <v>39</v>
      </c>
    </row>
    <row r="345" spans="1:15" x14ac:dyDescent="0.3">
      <c r="A345" t="s">
        <v>419</v>
      </c>
      <c r="B345" s="1">
        <v>46196.5625</v>
      </c>
      <c r="C345" t="str">
        <f t="shared" si="15"/>
        <v>2026-06</v>
      </c>
      <c r="D345" t="s">
        <v>16</v>
      </c>
      <c r="E345" t="s">
        <v>29</v>
      </c>
      <c r="F345" t="s">
        <v>25</v>
      </c>
      <c r="G345" t="s">
        <v>102</v>
      </c>
      <c r="H345" t="s">
        <v>81</v>
      </c>
      <c r="I345" s="2">
        <v>72.8</v>
      </c>
      <c r="J345" s="2">
        <v>121.3</v>
      </c>
      <c r="K345" s="3">
        <f t="shared" si="16"/>
        <v>8.8306399999999989</v>
      </c>
      <c r="L345" t="s">
        <v>78</v>
      </c>
      <c r="M345" s="4">
        <v>1.2E-2</v>
      </c>
      <c r="N345" s="5">
        <f t="shared" si="17"/>
        <v>0</v>
      </c>
      <c r="O345" t="s">
        <v>44</v>
      </c>
    </row>
    <row r="346" spans="1:15" x14ac:dyDescent="0.3">
      <c r="A346" t="s">
        <v>420</v>
      </c>
      <c r="B346" s="1">
        <v>46180.552083333336</v>
      </c>
      <c r="C346" t="str">
        <f t="shared" si="15"/>
        <v>2026-06</v>
      </c>
      <c r="D346" t="s">
        <v>24</v>
      </c>
      <c r="E346" t="s">
        <v>36</v>
      </c>
      <c r="F346" t="s">
        <v>63</v>
      </c>
      <c r="G346" t="s">
        <v>122</v>
      </c>
      <c r="H346" t="s">
        <v>54</v>
      </c>
      <c r="I346" s="2">
        <v>213.2</v>
      </c>
      <c r="J346" s="2">
        <v>213.4</v>
      </c>
      <c r="K346" s="3">
        <f t="shared" si="16"/>
        <v>45.496879999999997</v>
      </c>
      <c r="L346" t="s">
        <v>21</v>
      </c>
      <c r="M346" s="4">
        <v>8.0000000000000002E-3</v>
      </c>
      <c r="N346" s="5">
        <f t="shared" si="17"/>
        <v>363.97503999999998</v>
      </c>
      <c r="O346" t="s">
        <v>22</v>
      </c>
    </row>
    <row r="347" spans="1:15" x14ac:dyDescent="0.3">
      <c r="A347" t="s">
        <v>421</v>
      </c>
      <c r="B347" s="1">
        <v>46187.5</v>
      </c>
      <c r="C347" t="str">
        <f t="shared" si="15"/>
        <v>2026-06</v>
      </c>
      <c r="D347" t="s">
        <v>73</v>
      </c>
      <c r="E347" t="s">
        <v>29</v>
      </c>
      <c r="F347" t="s">
        <v>52</v>
      </c>
      <c r="G347" t="s">
        <v>53</v>
      </c>
      <c r="H347" t="s">
        <v>81</v>
      </c>
      <c r="I347" s="2">
        <v>142.1</v>
      </c>
      <c r="J347" s="2">
        <v>148.5</v>
      </c>
      <c r="K347" s="3">
        <f t="shared" si="16"/>
        <v>21.101849999999999</v>
      </c>
      <c r="L347" t="s">
        <v>21</v>
      </c>
      <c r="M347" s="4">
        <v>8.0000000000000002E-3</v>
      </c>
      <c r="N347" s="5">
        <f t="shared" si="17"/>
        <v>168.81479999999999</v>
      </c>
      <c r="O347" t="s">
        <v>39</v>
      </c>
    </row>
    <row r="348" spans="1:15" x14ac:dyDescent="0.3">
      <c r="A348" t="s">
        <v>422</v>
      </c>
      <c r="B348" s="1">
        <v>46178.572916666664</v>
      </c>
      <c r="C348" t="str">
        <f t="shared" si="15"/>
        <v>2026-06</v>
      </c>
      <c r="D348" t="s">
        <v>24</v>
      </c>
      <c r="E348" t="s">
        <v>36</v>
      </c>
      <c r="F348" t="s">
        <v>37</v>
      </c>
      <c r="G348" t="s">
        <v>38</v>
      </c>
      <c r="H348" t="s">
        <v>59</v>
      </c>
      <c r="I348" s="2">
        <v>134.6</v>
      </c>
      <c r="J348" s="2">
        <v>87.9</v>
      </c>
      <c r="K348" s="3">
        <f t="shared" si="16"/>
        <v>11.831340000000001</v>
      </c>
      <c r="L348" t="s">
        <v>43</v>
      </c>
      <c r="M348" s="4">
        <v>1.4999999999999999E-2</v>
      </c>
      <c r="N348" s="5">
        <f t="shared" si="17"/>
        <v>0</v>
      </c>
      <c r="O348" t="s">
        <v>44</v>
      </c>
    </row>
    <row r="349" spans="1:15" x14ac:dyDescent="0.3">
      <c r="A349" t="s">
        <v>423</v>
      </c>
      <c r="B349" s="1">
        <v>46190.770833333336</v>
      </c>
      <c r="C349" t="str">
        <f t="shared" si="15"/>
        <v>2026-06</v>
      </c>
      <c r="D349" t="s">
        <v>73</v>
      </c>
      <c r="E349" t="s">
        <v>36</v>
      </c>
      <c r="F349" t="s">
        <v>52</v>
      </c>
      <c r="G349" t="s">
        <v>93</v>
      </c>
      <c r="H349" t="s">
        <v>27</v>
      </c>
      <c r="I349" s="2">
        <v>88.8</v>
      </c>
      <c r="J349" s="2">
        <v>175.3</v>
      </c>
      <c r="K349" s="3">
        <f t="shared" si="16"/>
        <v>15.566640000000001</v>
      </c>
      <c r="L349" t="s">
        <v>21</v>
      </c>
      <c r="M349" s="4">
        <v>8.0000000000000002E-3</v>
      </c>
      <c r="N349" s="5">
        <f t="shared" si="17"/>
        <v>124.53312000000001</v>
      </c>
      <c r="O349" t="s">
        <v>22</v>
      </c>
    </row>
    <row r="350" spans="1:15" x14ac:dyDescent="0.3">
      <c r="A350" t="s">
        <v>424</v>
      </c>
      <c r="B350" s="1">
        <v>46203.71875</v>
      </c>
      <c r="C350" t="str">
        <f t="shared" si="15"/>
        <v>2026-06</v>
      </c>
      <c r="D350" t="s">
        <v>73</v>
      </c>
      <c r="E350" t="s">
        <v>36</v>
      </c>
      <c r="F350" t="s">
        <v>30</v>
      </c>
      <c r="G350" t="s">
        <v>139</v>
      </c>
      <c r="H350" t="s">
        <v>32</v>
      </c>
      <c r="I350" s="2">
        <v>126.5</v>
      </c>
      <c r="J350" s="2">
        <v>20.5</v>
      </c>
      <c r="K350" s="3">
        <f t="shared" si="16"/>
        <v>2.5932499999999998</v>
      </c>
      <c r="L350" t="s">
        <v>78</v>
      </c>
      <c r="M350" s="4">
        <v>1.4999999999999999E-2</v>
      </c>
      <c r="N350" s="5">
        <f t="shared" si="17"/>
        <v>0</v>
      </c>
      <c r="O350" t="s">
        <v>44</v>
      </c>
    </row>
    <row r="351" spans="1:15" x14ac:dyDescent="0.3">
      <c r="A351" t="s">
        <v>425</v>
      </c>
      <c r="B351" s="1">
        <v>46191.708333333336</v>
      </c>
      <c r="C351" t="str">
        <f t="shared" si="15"/>
        <v>2026-06</v>
      </c>
      <c r="D351" t="s">
        <v>24</v>
      </c>
      <c r="E351" t="s">
        <v>29</v>
      </c>
      <c r="F351" t="s">
        <v>30</v>
      </c>
      <c r="G351" t="s">
        <v>31</v>
      </c>
      <c r="H351" t="s">
        <v>54</v>
      </c>
      <c r="I351" s="2">
        <v>81.8</v>
      </c>
      <c r="J351" s="2">
        <v>30.3</v>
      </c>
      <c r="K351" s="3">
        <f t="shared" si="16"/>
        <v>2.4785399999999997</v>
      </c>
      <c r="L351" t="s">
        <v>21</v>
      </c>
      <c r="M351" s="4">
        <v>0.01</v>
      </c>
      <c r="N351" s="5">
        <f t="shared" si="17"/>
        <v>24.785399999999999</v>
      </c>
      <c r="O351" t="s">
        <v>33</v>
      </c>
    </row>
    <row r="352" spans="1:15" x14ac:dyDescent="0.3">
      <c r="A352" t="s">
        <v>426</v>
      </c>
      <c r="B352" s="1">
        <v>46192.729166666664</v>
      </c>
      <c r="C352" t="str">
        <f t="shared" si="15"/>
        <v>2026-06</v>
      </c>
      <c r="D352" t="s">
        <v>73</v>
      </c>
      <c r="E352" t="s">
        <v>29</v>
      </c>
      <c r="F352" t="s">
        <v>52</v>
      </c>
      <c r="G352" t="s">
        <v>57</v>
      </c>
      <c r="H352" t="s">
        <v>61</v>
      </c>
      <c r="I352" s="2">
        <v>119.2</v>
      </c>
      <c r="J352" s="2">
        <v>135.4</v>
      </c>
      <c r="K352" s="3">
        <f t="shared" si="16"/>
        <v>16.139680000000002</v>
      </c>
      <c r="L352" t="s">
        <v>21</v>
      </c>
      <c r="M352" s="4">
        <v>1.2E-2</v>
      </c>
      <c r="N352" s="5">
        <f t="shared" si="17"/>
        <v>193.67616000000004</v>
      </c>
      <c r="O352" t="s">
        <v>39</v>
      </c>
    </row>
    <row r="353" spans="1:15" x14ac:dyDescent="0.3">
      <c r="A353" t="s">
        <v>427</v>
      </c>
      <c r="B353" s="1">
        <v>46188.760416666664</v>
      </c>
      <c r="C353" t="str">
        <f t="shared" si="15"/>
        <v>2026-06</v>
      </c>
      <c r="D353" t="s">
        <v>24</v>
      </c>
      <c r="E353" t="s">
        <v>47</v>
      </c>
      <c r="F353" t="s">
        <v>18</v>
      </c>
      <c r="G353" t="s">
        <v>19</v>
      </c>
      <c r="H353" t="s">
        <v>27</v>
      </c>
      <c r="I353" s="2">
        <v>368.1</v>
      </c>
      <c r="J353" s="2">
        <v>186.3</v>
      </c>
      <c r="K353" s="3">
        <f t="shared" si="16"/>
        <v>68.577030000000008</v>
      </c>
      <c r="L353" t="s">
        <v>55</v>
      </c>
      <c r="M353" s="4">
        <v>1.4999999999999999E-2</v>
      </c>
      <c r="N353" s="5">
        <f t="shared" si="17"/>
        <v>0</v>
      </c>
      <c r="O353" t="s">
        <v>33</v>
      </c>
    </row>
    <row r="354" spans="1:15" x14ac:dyDescent="0.3">
      <c r="A354" t="s">
        <v>428</v>
      </c>
      <c r="B354" s="1">
        <v>46192.71875</v>
      </c>
      <c r="C354" t="str">
        <f t="shared" si="15"/>
        <v>2026-06</v>
      </c>
      <c r="D354" t="s">
        <v>69</v>
      </c>
      <c r="E354" t="s">
        <v>36</v>
      </c>
      <c r="F354" t="s">
        <v>37</v>
      </c>
      <c r="G354" t="s">
        <v>156</v>
      </c>
      <c r="H354" t="s">
        <v>59</v>
      </c>
      <c r="I354" s="2">
        <v>100.3</v>
      </c>
      <c r="J354" s="2">
        <v>183.5</v>
      </c>
      <c r="K354" s="3">
        <f t="shared" si="16"/>
        <v>18.405049999999999</v>
      </c>
      <c r="L354" t="s">
        <v>78</v>
      </c>
      <c r="M354" s="4">
        <v>0.01</v>
      </c>
      <c r="N354" s="5">
        <f t="shared" si="17"/>
        <v>0</v>
      </c>
      <c r="O354" t="s">
        <v>44</v>
      </c>
    </row>
    <row r="355" spans="1:15" x14ac:dyDescent="0.3">
      <c r="A355" t="s">
        <v>429</v>
      </c>
      <c r="B355" s="1">
        <v>46174.739583333336</v>
      </c>
      <c r="C355" t="str">
        <f t="shared" si="15"/>
        <v>2026-06</v>
      </c>
      <c r="D355" t="s">
        <v>46</v>
      </c>
      <c r="E355" t="s">
        <v>29</v>
      </c>
      <c r="F355" t="s">
        <v>25</v>
      </c>
      <c r="G355" t="s">
        <v>64</v>
      </c>
      <c r="H355" t="s">
        <v>49</v>
      </c>
      <c r="I355" s="2">
        <v>118.5</v>
      </c>
      <c r="J355" s="2">
        <v>70.5</v>
      </c>
      <c r="K355" s="3">
        <f t="shared" si="16"/>
        <v>8.3542500000000004</v>
      </c>
      <c r="L355" t="s">
        <v>43</v>
      </c>
      <c r="M355" s="4">
        <v>1.2E-2</v>
      </c>
      <c r="N355" s="5">
        <f t="shared" si="17"/>
        <v>0</v>
      </c>
      <c r="O355" t="s">
        <v>33</v>
      </c>
    </row>
    <row r="356" spans="1:15" x14ac:dyDescent="0.3">
      <c r="A356" t="s">
        <v>430</v>
      </c>
      <c r="B356" s="1">
        <v>46186.5</v>
      </c>
      <c r="C356" t="str">
        <f t="shared" si="15"/>
        <v>2026-06</v>
      </c>
      <c r="D356" t="s">
        <v>24</v>
      </c>
      <c r="E356" t="s">
        <v>36</v>
      </c>
      <c r="F356" t="s">
        <v>25</v>
      </c>
      <c r="G356" t="s">
        <v>67</v>
      </c>
      <c r="H356" t="s">
        <v>20</v>
      </c>
      <c r="I356" s="2">
        <v>98.3</v>
      </c>
      <c r="J356" s="2">
        <v>60.7</v>
      </c>
      <c r="K356" s="3">
        <f t="shared" si="16"/>
        <v>5.9668100000000006</v>
      </c>
      <c r="L356" t="s">
        <v>55</v>
      </c>
      <c r="M356" s="4">
        <v>0.02</v>
      </c>
      <c r="N356" s="5">
        <f t="shared" si="17"/>
        <v>0</v>
      </c>
      <c r="O356" t="s">
        <v>33</v>
      </c>
    </row>
    <row r="357" spans="1:15" x14ac:dyDescent="0.3">
      <c r="A357" t="s">
        <v>431</v>
      </c>
      <c r="B357" s="1">
        <v>46180.520833333336</v>
      </c>
      <c r="C357" t="str">
        <f t="shared" si="15"/>
        <v>2026-06</v>
      </c>
      <c r="D357" t="s">
        <v>69</v>
      </c>
      <c r="E357" t="s">
        <v>41</v>
      </c>
      <c r="F357" t="s">
        <v>63</v>
      </c>
      <c r="G357" t="s">
        <v>88</v>
      </c>
      <c r="H357" t="s">
        <v>85</v>
      </c>
      <c r="I357" s="2">
        <v>124.2</v>
      </c>
      <c r="J357" s="2">
        <v>136.9</v>
      </c>
      <c r="K357" s="3">
        <f t="shared" si="16"/>
        <v>17.002980000000001</v>
      </c>
      <c r="L357" t="s">
        <v>21</v>
      </c>
      <c r="M357" s="4">
        <v>8.0000000000000002E-3</v>
      </c>
      <c r="N357" s="5">
        <f t="shared" si="17"/>
        <v>136.02384000000001</v>
      </c>
      <c r="O357" t="s">
        <v>33</v>
      </c>
    </row>
    <row r="358" spans="1:15" x14ac:dyDescent="0.3">
      <c r="A358" t="s">
        <v>432</v>
      </c>
      <c r="B358" s="1">
        <v>46177.78125</v>
      </c>
      <c r="C358" t="str">
        <f t="shared" si="15"/>
        <v>2026-06</v>
      </c>
      <c r="D358" t="s">
        <v>69</v>
      </c>
      <c r="E358" t="s">
        <v>36</v>
      </c>
      <c r="F358" t="s">
        <v>18</v>
      </c>
      <c r="G358" t="s">
        <v>48</v>
      </c>
      <c r="H358" t="s">
        <v>61</v>
      </c>
      <c r="I358" s="2">
        <v>223.4</v>
      </c>
      <c r="J358" s="2">
        <v>125.7</v>
      </c>
      <c r="K358" s="3">
        <f t="shared" si="16"/>
        <v>28.081379999999999</v>
      </c>
      <c r="L358" t="s">
        <v>21</v>
      </c>
      <c r="M358" s="4">
        <v>0.01</v>
      </c>
      <c r="N358" s="5">
        <f t="shared" si="17"/>
        <v>280.81380000000001</v>
      </c>
      <c r="O358" t="s">
        <v>22</v>
      </c>
    </row>
    <row r="359" spans="1:15" x14ac:dyDescent="0.3">
      <c r="A359" t="s">
        <v>433</v>
      </c>
      <c r="B359" s="1">
        <v>46182.572916666664</v>
      </c>
      <c r="C359" t="str">
        <f t="shared" si="15"/>
        <v>2026-06</v>
      </c>
      <c r="D359" t="s">
        <v>73</v>
      </c>
      <c r="E359" t="s">
        <v>41</v>
      </c>
      <c r="F359" t="s">
        <v>63</v>
      </c>
      <c r="G359" t="s">
        <v>64</v>
      </c>
      <c r="H359" t="s">
        <v>32</v>
      </c>
      <c r="I359" s="2">
        <v>162.80000000000001</v>
      </c>
      <c r="J359" s="2">
        <v>181.2</v>
      </c>
      <c r="K359" s="3">
        <f t="shared" si="16"/>
        <v>29.499359999999999</v>
      </c>
      <c r="L359" t="s">
        <v>43</v>
      </c>
      <c r="M359" s="4">
        <v>1.2E-2</v>
      </c>
      <c r="N359" s="5">
        <f t="shared" si="17"/>
        <v>0</v>
      </c>
      <c r="O359" t="s">
        <v>22</v>
      </c>
    </row>
    <row r="360" spans="1:15" x14ac:dyDescent="0.3">
      <c r="A360" t="s">
        <v>434</v>
      </c>
      <c r="B360" s="1">
        <v>46183.625</v>
      </c>
      <c r="C360" t="str">
        <f t="shared" si="15"/>
        <v>2026-06</v>
      </c>
      <c r="D360" t="s">
        <v>46</v>
      </c>
      <c r="E360" t="s">
        <v>41</v>
      </c>
      <c r="F360" t="s">
        <v>30</v>
      </c>
      <c r="G360" t="s">
        <v>133</v>
      </c>
      <c r="H360" t="s">
        <v>59</v>
      </c>
      <c r="I360" s="2">
        <v>200.5</v>
      </c>
      <c r="J360" s="2">
        <v>32.700000000000003</v>
      </c>
      <c r="K360" s="3">
        <f t="shared" si="16"/>
        <v>6.5563500000000001</v>
      </c>
      <c r="L360" t="s">
        <v>43</v>
      </c>
      <c r="M360" s="4">
        <v>1.2E-2</v>
      </c>
      <c r="N360" s="5">
        <f t="shared" si="17"/>
        <v>0</v>
      </c>
      <c r="O360" t="s">
        <v>22</v>
      </c>
    </row>
    <row r="361" spans="1:15" x14ac:dyDescent="0.3">
      <c r="A361" t="s">
        <v>435</v>
      </c>
      <c r="B361" s="1">
        <v>46192.46875</v>
      </c>
      <c r="C361" t="str">
        <f t="shared" si="15"/>
        <v>2026-06</v>
      </c>
      <c r="D361" t="s">
        <v>16</v>
      </c>
      <c r="E361" t="s">
        <v>47</v>
      </c>
      <c r="F361" t="s">
        <v>37</v>
      </c>
      <c r="G361" t="s">
        <v>70</v>
      </c>
      <c r="H361" t="s">
        <v>32</v>
      </c>
      <c r="I361" s="2">
        <v>65.8</v>
      </c>
      <c r="J361" s="2">
        <v>225.9</v>
      </c>
      <c r="K361" s="3">
        <f t="shared" si="16"/>
        <v>14.86422</v>
      </c>
      <c r="L361" t="s">
        <v>78</v>
      </c>
      <c r="M361" s="4">
        <v>1.2E-2</v>
      </c>
      <c r="N361" s="5">
        <f t="shared" si="17"/>
        <v>0</v>
      </c>
      <c r="O361" t="s">
        <v>79</v>
      </c>
    </row>
    <row r="362" spans="1:15" x14ac:dyDescent="0.3">
      <c r="A362" t="s">
        <v>436</v>
      </c>
      <c r="B362" s="1">
        <v>46228.770833333336</v>
      </c>
      <c r="C362" t="str">
        <f t="shared" si="15"/>
        <v>2026-07</v>
      </c>
      <c r="D362" t="s">
        <v>73</v>
      </c>
      <c r="E362" t="s">
        <v>41</v>
      </c>
      <c r="F362" t="s">
        <v>63</v>
      </c>
      <c r="G362" t="s">
        <v>64</v>
      </c>
      <c r="H362" t="s">
        <v>71</v>
      </c>
      <c r="I362" s="2">
        <v>89.5</v>
      </c>
      <c r="J362" s="2">
        <v>244.8</v>
      </c>
      <c r="K362" s="3">
        <f t="shared" si="16"/>
        <v>21.909600000000001</v>
      </c>
      <c r="L362" t="s">
        <v>21</v>
      </c>
      <c r="M362" s="4">
        <v>8.0000000000000002E-3</v>
      </c>
      <c r="N362" s="5">
        <f t="shared" si="17"/>
        <v>175.27680000000001</v>
      </c>
      <c r="O362" t="s">
        <v>79</v>
      </c>
    </row>
    <row r="363" spans="1:15" x14ac:dyDescent="0.3">
      <c r="A363" t="s">
        <v>437</v>
      </c>
      <c r="B363" s="1">
        <v>46223.552083333336</v>
      </c>
      <c r="C363" t="str">
        <f t="shared" si="15"/>
        <v>2026-07</v>
      </c>
      <c r="D363" t="s">
        <v>107</v>
      </c>
      <c r="E363" t="s">
        <v>36</v>
      </c>
      <c r="F363" t="s">
        <v>52</v>
      </c>
      <c r="G363" t="s">
        <v>57</v>
      </c>
      <c r="H363" t="s">
        <v>65</v>
      </c>
      <c r="I363" s="2">
        <v>96.5</v>
      </c>
      <c r="J363" s="2">
        <v>58.5</v>
      </c>
      <c r="K363" s="3">
        <f t="shared" si="16"/>
        <v>5.6452499999999999</v>
      </c>
      <c r="L363" t="s">
        <v>21</v>
      </c>
      <c r="M363" s="4">
        <v>0.01</v>
      </c>
      <c r="N363" s="5">
        <f t="shared" si="17"/>
        <v>56.452500000000001</v>
      </c>
      <c r="O363" t="s">
        <v>22</v>
      </c>
    </row>
    <row r="364" spans="1:15" x14ac:dyDescent="0.3">
      <c r="A364" t="s">
        <v>438</v>
      </c>
      <c r="B364" s="1">
        <v>46216.34375</v>
      </c>
      <c r="C364" t="str">
        <f t="shared" si="15"/>
        <v>2026-07</v>
      </c>
      <c r="D364" t="s">
        <v>16</v>
      </c>
      <c r="E364" t="s">
        <v>36</v>
      </c>
      <c r="F364" t="s">
        <v>63</v>
      </c>
      <c r="G364" t="s">
        <v>88</v>
      </c>
      <c r="H364" t="s">
        <v>49</v>
      </c>
      <c r="I364" s="2">
        <v>205.5</v>
      </c>
      <c r="J364" s="2">
        <v>228.2</v>
      </c>
      <c r="K364" s="3">
        <f t="shared" si="16"/>
        <v>46.895099999999999</v>
      </c>
      <c r="L364" t="s">
        <v>21</v>
      </c>
      <c r="M364" s="4">
        <v>0.01</v>
      </c>
      <c r="N364" s="5">
        <f t="shared" si="17"/>
        <v>468.95100000000002</v>
      </c>
      <c r="O364" t="s">
        <v>33</v>
      </c>
    </row>
    <row r="365" spans="1:15" x14ac:dyDescent="0.3">
      <c r="A365" t="s">
        <v>439</v>
      </c>
      <c r="B365" s="1">
        <v>46229.364583333336</v>
      </c>
      <c r="C365" t="str">
        <f t="shared" si="15"/>
        <v>2026-07</v>
      </c>
      <c r="D365" t="s">
        <v>73</v>
      </c>
      <c r="E365" t="s">
        <v>17</v>
      </c>
      <c r="F365" t="s">
        <v>30</v>
      </c>
      <c r="G365" t="s">
        <v>139</v>
      </c>
      <c r="H365" t="s">
        <v>54</v>
      </c>
      <c r="I365" s="2">
        <v>80.5</v>
      </c>
      <c r="J365" s="2">
        <v>40.200000000000003</v>
      </c>
      <c r="K365" s="3">
        <f t="shared" si="16"/>
        <v>3.2361000000000004</v>
      </c>
      <c r="L365" t="s">
        <v>21</v>
      </c>
      <c r="M365" s="4">
        <v>0.02</v>
      </c>
      <c r="N365" s="5">
        <f t="shared" si="17"/>
        <v>64.722000000000023</v>
      </c>
      <c r="O365" t="s">
        <v>44</v>
      </c>
    </row>
    <row r="366" spans="1:15" x14ac:dyDescent="0.3">
      <c r="A366" t="s">
        <v>440</v>
      </c>
      <c r="B366" s="1">
        <v>46234.53125</v>
      </c>
      <c r="C366" t="str">
        <f t="shared" si="15"/>
        <v>2026-07</v>
      </c>
      <c r="D366" t="s">
        <v>51</v>
      </c>
      <c r="E366" t="s">
        <v>17</v>
      </c>
      <c r="F366" t="s">
        <v>63</v>
      </c>
      <c r="G366" t="s">
        <v>64</v>
      </c>
      <c r="H366" t="s">
        <v>54</v>
      </c>
      <c r="I366" s="2">
        <v>218.9</v>
      </c>
      <c r="J366" s="2">
        <v>100.7</v>
      </c>
      <c r="K366" s="3">
        <f t="shared" si="16"/>
        <v>22.043230000000001</v>
      </c>
      <c r="L366" t="s">
        <v>55</v>
      </c>
      <c r="M366" s="4">
        <v>0.01</v>
      </c>
      <c r="N366" s="5">
        <f t="shared" si="17"/>
        <v>0</v>
      </c>
      <c r="O366" t="s">
        <v>79</v>
      </c>
    </row>
    <row r="367" spans="1:15" x14ac:dyDescent="0.3">
      <c r="A367" t="s">
        <v>441</v>
      </c>
      <c r="B367" s="1">
        <v>46226.5</v>
      </c>
      <c r="C367" t="str">
        <f t="shared" si="15"/>
        <v>2026-07</v>
      </c>
      <c r="D367" t="s">
        <v>107</v>
      </c>
      <c r="E367" t="s">
        <v>41</v>
      </c>
      <c r="F367" t="s">
        <v>37</v>
      </c>
      <c r="G367" t="s">
        <v>38</v>
      </c>
      <c r="H367" t="s">
        <v>85</v>
      </c>
      <c r="I367" s="2">
        <v>122.6</v>
      </c>
      <c r="J367" s="2">
        <v>194.6</v>
      </c>
      <c r="K367" s="3">
        <f t="shared" si="16"/>
        <v>23.857959999999999</v>
      </c>
      <c r="L367" t="s">
        <v>21</v>
      </c>
      <c r="M367" s="4">
        <v>0.02</v>
      </c>
      <c r="N367" s="5">
        <f t="shared" si="17"/>
        <v>477.1592</v>
      </c>
      <c r="O367" t="s">
        <v>33</v>
      </c>
    </row>
    <row r="368" spans="1:15" x14ac:dyDescent="0.3">
      <c r="A368" t="s">
        <v>442</v>
      </c>
      <c r="B368" s="1">
        <v>46227.40625</v>
      </c>
      <c r="C368" t="str">
        <f t="shared" si="15"/>
        <v>2026-07</v>
      </c>
      <c r="D368" t="s">
        <v>24</v>
      </c>
      <c r="E368" t="s">
        <v>36</v>
      </c>
      <c r="F368" t="s">
        <v>63</v>
      </c>
      <c r="G368" t="s">
        <v>88</v>
      </c>
      <c r="H368" t="s">
        <v>85</v>
      </c>
      <c r="I368" s="2">
        <v>137.6</v>
      </c>
      <c r="J368" s="2">
        <v>268.5</v>
      </c>
      <c r="K368" s="3">
        <f t="shared" si="16"/>
        <v>36.945599999999999</v>
      </c>
      <c r="L368" t="s">
        <v>43</v>
      </c>
      <c r="M368" s="4">
        <v>1.4999999999999999E-2</v>
      </c>
      <c r="N368" s="5">
        <f t="shared" si="17"/>
        <v>0</v>
      </c>
      <c r="O368" t="s">
        <v>22</v>
      </c>
    </row>
    <row r="369" spans="1:15" x14ac:dyDescent="0.3">
      <c r="A369" t="s">
        <v>443</v>
      </c>
      <c r="B369" s="1">
        <v>46225.395833333336</v>
      </c>
      <c r="C369" t="str">
        <f t="shared" si="15"/>
        <v>2026-07</v>
      </c>
      <c r="D369" t="s">
        <v>46</v>
      </c>
      <c r="E369" t="s">
        <v>47</v>
      </c>
      <c r="F369" t="s">
        <v>37</v>
      </c>
      <c r="G369" t="s">
        <v>156</v>
      </c>
      <c r="H369" t="s">
        <v>54</v>
      </c>
      <c r="I369" s="2">
        <v>68.900000000000006</v>
      </c>
      <c r="J369" s="2">
        <v>213.4</v>
      </c>
      <c r="K369" s="3">
        <f t="shared" si="16"/>
        <v>14.703260000000002</v>
      </c>
      <c r="L369" t="s">
        <v>21</v>
      </c>
      <c r="M369" s="4">
        <v>0.02</v>
      </c>
      <c r="N369" s="5">
        <f t="shared" si="17"/>
        <v>294.0652</v>
      </c>
      <c r="O369" t="s">
        <v>39</v>
      </c>
    </row>
    <row r="370" spans="1:15" x14ac:dyDescent="0.3">
      <c r="A370" t="s">
        <v>444</v>
      </c>
      <c r="B370" s="1">
        <v>46217.625</v>
      </c>
      <c r="C370" t="str">
        <f t="shared" si="15"/>
        <v>2026-07</v>
      </c>
      <c r="D370" t="s">
        <v>35</v>
      </c>
      <c r="E370" t="s">
        <v>41</v>
      </c>
      <c r="F370" t="s">
        <v>18</v>
      </c>
      <c r="G370" t="s">
        <v>84</v>
      </c>
      <c r="H370" t="s">
        <v>85</v>
      </c>
      <c r="I370" s="2">
        <v>246.2</v>
      </c>
      <c r="J370" s="2">
        <v>238.3</v>
      </c>
      <c r="K370" s="3">
        <f t="shared" si="16"/>
        <v>58.669460000000001</v>
      </c>
      <c r="L370" t="s">
        <v>21</v>
      </c>
      <c r="M370" s="4">
        <v>1.2E-2</v>
      </c>
      <c r="N370" s="5">
        <f t="shared" si="17"/>
        <v>704.03352000000007</v>
      </c>
      <c r="O370" t="s">
        <v>39</v>
      </c>
    </row>
    <row r="371" spans="1:15" x14ac:dyDescent="0.3">
      <c r="A371" t="s">
        <v>445</v>
      </c>
      <c r="B371" s="1">
        <v>46234.666666666664</v>
      </c>
      <c r="C371" t="str">
        <f t="shared" si="15"/>
        <v>2026-07</v>
      </c>
      <c r="D371" t="s">
        <v>73</v>
      </c>
      <c r="E371" t="s">
        <v>47</v>
      </c>
      <c r="F371" t="s">
        <v>30</v>
      </c>
      <c r="G371" t="s">
        <v>133</v>
      </c>
      <c r="H371" t="s">
        <v>71</v>
      </c>
      <c r="I371" s="2">
        <v>243</v>
      </c>
      <c r="J371" s="2">
        <v>64.2</v>
      </c>
      <c r="K371" s="3">
        <f t="shared" si="16"/>
        <v>15.6006</v>
      </c>
      <c r="L371" t="s">
        <v>21</v>
      </c>
      <c r="M371" s="4">
        <v>0.02</v>
      </c>
      <c r="N371" s="5">
        <f t="shared" si="17"/>
        <v>312.012</v>
      </c>
      <c r="O371" t="s">
        <v>22</v>
      </c>
    </row>
    <row r="372" spans="1:15" x14ac:dyDescent="0.3">
      <c r="A372" t="s">
        <v>446</v>
      </c>
      <c r="B372" s="1">
        <v>46228.729166666664</v>
      </c>
      <c r="C372" t="str">
        <f t="shared" si="15"/>
        <v>2026-07</v>
      </c>
      <c r="D372" t="s">
        <v>51</v>
      </c>
      <c r="E372" t="s">
        <v>47</v>
      </c>
      <c r="F372" t="s">
        <v>52</v>
      </c>
      <c r="G372" t="s">
        <v>93</v>
      </c>
      <c r="H372" t="s">
        <v>59</v>
      </c>
      <c r="I372" s="2">
        <v>166.6</v>
      </c>
      <c r="J372" s="2">
        <v>100.2</v>
      </c>
      <c r="K372" s="3">
        <f t="shared" si="16"/>
        <v>16.69332</v>
      </c>
      <c r="L372" t="s">
        <v>21</v>
      </c>
      <c r="M372" s="4">
        <v>0.02</v>
      </c>
      <c r="N372" s="5">
        <f t="shared" si="17"/>
        <v>333.8664</v>
      </c>
      <c r="O372" t="s">
        <v>44</v>
      </c>
    </row>
    <row r="373" spans="1:15" x14ac:dyDescent="0.3">
      <c r="A373" t="s">
        <v>447</v>
      </c>
      <c r="B373" s="1">
        <v>46218.645833333336</v>
      </c>
      <c r="C373" t="str">
        <f t="shared" si="15"/>
        <v>2026-07</v>
      </c>
      <c r="D373" t="s">
        <v>69</v>
      </c>
      <c r="E373" t="s">
        <v>17</v>
      </c>
      <c r="F373" t="s">
        <v>63</v>
      </c>
      <c r="G373" t="s">
        <v>122</v>
      </c>
      <c r="H373" t="s">
        <v>32</v>
      </c>
      <c r="I373" s="2">
        <v>116.2</v>
      </c>
      <c r="J373" s="2">
        <v>255.5</v>
      </c>
      <c r="K373" s="3">
        <f t="shared" si="16"/>
        <v>29.689100000000003</v>
      </c>
      <c r="L373" t="s">
        <v>21</v>
      </c>
      <c r="M373" s="4">
        <v>0.01</v>
      </c>
      <c r="N373" s="5">
        <f t="shared" si="17"/>
        <v>296.89100000000002</v>
      </c>
      <c r="O373" t="s">
        <v>39</v>
      </c>
    </row>
    <row r="374" spans="1:15" x14ac:dyDescent="0.3">
      <c r="A374" t="s">
        <v>448</v>
      </c>
      <c r="B374" s="1">
        <v>46204.75</v>
      </c>
      <c r="C374" t="str">
        <f t="shared" si="15"/>
        <v>2026-07</v>
      </c>
      <c r="D374" t="s">
        <v>69</v>
      </c>
      <c r="E374" t="s">
        <v>41</v>
      </c>
      <c r="F374" t="s">
        <v>30</v>
      </c>
      <c r="G374" t="s">
        <v>31</v>
      </c>
      <c r="H374" t="s">
        <v>49</v>
      </c>
      <c r="I374" s="2">
        <v>210.4</v>
      </c>
      <c r="J374" s="2">
        <v>48.2</v>
      </c>
      <c r="K374" s="3">
        <f t="shared" si="16"/>
        <v>10.14128</v>
      </c>
      <c r="L374" t="s">
        <v>21</v>
      </c>
      <c r="M374" s="4">
        <v>8.0000000000000002E-3</v>
      </c>
      <c r="N374" s="5">
        <f t="shared" si="17"/>
        <v>81.130240000000001</v>
      </c>
      <c r="O374" t="s">
        <v>33</v>
      </c>
    </row>
    <row r="375" spans="1:15" x14ac:dyDescent="0.3">
      <c r="A375" t="s">
        <v>449</v>
      </c>
      <c r="B375" s="1">
        <v>46211.385416666664</v>
      </c>
      <c r="C375" t="str">
        <f t="shared" si="15"/>
        <v>2026-07</v>
      </c>
      <c r="D375" t="s">
        <v>69</v>
      </c>
      <c r="E375" t="s">
        <v>29</v>
      </c>
      <c r="F375" t="s">
        <v>52</v>
      </c>
      <c r="G375" t="s">
        <v>57</v>
      </c>
      <c r="H375" t="s">
        <v>81</v>
      </c>
      <c r="I375" s="2">
        <v>122.6</v>
      </c>
      <c r="J375" s="2">
        <v>101.2</v>
      </c>
      <c r="K375" s="3">
        <f t="shared" si="16"/>
        <v>12.407119999999999</v>
      </c>
      <c r="L375" t="s">
        <v>21</v>
      </c>
      <c r="M375" s="4">
        <v>1.2E-2</v>
      </c>
      <c r="N375" s="5">
        <f t="shared" si="17"/>
        <v>148.88543999999999</v>
      </c>
      <c r="O375" t="s">
        <v>33</v>
      </c>
    </row>
    <row r="376" spans="1:15" x14ac:dyDescent="0.3">
      <c r="A376" t="s">
        <v>450</v>
      </c>
      <c r="B376" s="1">
        <v>46204.333333333336</v>
      </c>
      <c r="C376" t="str">
        <f t="shared" si="15"/>
        <v>2026-07</v>
      </c>
      <c r="D376" t="s">
        <v>51</v>
      </c>
      <c r="E376" t="s">
        <v>41</v>
      </c>
      <c r="F376" t="s">
        <v>25</v>
      </c>
      <c r="G376" t="s">
        <v>102</v>
      </c>
      <c r="H376" t="s">
        <v>71</v>
      </c>
      <c r="I376" s="2">
        <v>107.5</v>
      </c>
      <c r="J376" s="2">
        <v>61.4</v>
      </c>
      <c r="K376" s="3">
        <f t="shared" si="16"/>
        <v>6.6005000000000003</v>
      </c>
      <c r="L376" t="s">
        <v>21</v>
      </c>
      <c r="M376" s="4">
        <v>1.4999999999999999E-2</v>
      </c>
      <c r="N376" s="5">
        <f t="shared" si="17"/>
        <v>99.007499999999993</v>
      </c>
      <c r="O376" t="s">
        <v>44</v>
      </c>
    </row>
    <row r="377" spans="1:15" x14ac:dyDescent="0.3">
      <c r="A377" t="s">
        <v>451</v>
      </c>
      <c r="B377" s="1">
        <v>46208.697916666664</v>
      </c>
      <c r="C377" t="str">
        <f t="shared" si="15"/>
        <v>2026-07</v>
      </c>
      <c r="D377" t="s">
        <v>73</v>
      </c>
      <c r="E377" t="s">
        <v>47</v>
      </c>
      <c r="F377" t="s">
        <v>37</v>
      </c>
      <c r="G377" t="s">
        <v>156</v>
      </c>
      <c r="H377" t="s">
        <v>49</v>
      </c>
      <c r="I377" s="2">
        <v>133.30000000000001</v>
      </c>
      <c r="J377" s="2">
        <v>140.4</v>
      </c>
      <c r="K377" s="3">
        <f t="shared" si="16"/>
        <v>18.715320000000002</v>
      </c>
      <c r="L377" t="s">
        <v>21</v>
      </c>
      <c r="M377" s="4">
        <v>1.2E-2</v>
      </c>
      <c r="N377" s="5">
        <f t="shared" si="17"/>
        <v>224.58384000000004</v>
      </c>
      <c r="O377" t="s">
        <v>44</v>
      </c>
    </row>
    <row r="378" spans="1:15" x14ac:dyDescent="0.3">
      <c r="A378" t="s">
        <v>452</v>
      </c>
      <c r="B378" s="1">
        <v>46220.697916666664</v>
      </c>
      <c r="C378" t="str">
        <f t="shared" si="15"/>
        <v>2026-07</v>
      </c>
      <c r="D378" t="s">
        <v>24</v>
      </c>
      <c r="E378" t="s">
        <v>17</v>
      </c>
      <c r="F378" t="s">
        <v>25</v>
      </c>
      <c r="G378" t="s">
        <v>64</v>
      </c>
      <c r="H378" t="s">
        <v>32</v>
      </c>
      <c r="I378" s="2">
        <v>133.6</v>
      </c>
      <c r="J378" s="2">
        <v>116.1</v>
      </c>
      <c r="K378" s="3">
        <f t="shared" si="16"/>
        <v>15.510959999999999</v>
      </c>
      <c r="L378" t="s">
        <v>21</v>
      </c>
      <c r="M378" s="4">
        <v>1.2E-2</v>
      </c>
      <c r="N378" s="5">
        <f t="shared" si="17"/>
        <v>186.13151999999999</v>
      </c>
      <c r="O378" t="s">
        <v>39</v>
      </c>
    </row>
    <row r="379" spans="1:15" x14ac:dyDescent="0.3">
      <c r="A379" t="s">
        <v>453</v>
      </c>
      <c r="B379" s="1">
        <v>46227.65625</v>
      </c>
      <c r="C379" t="str">
        <f t="shared" si="15"/>
        <v>2026-07</v>
      </c>
      <c r="D379" t="s">
        <v>69</v>
      </c>
      <c r="E379" t="s">
        <v>47</v>
      </c>
      <c r="F379" t="s">
        <v>18</v>
      </c>
      <c r="G379" t="s">
        <v>64</v>
      </c>
      <c r="H379" t="s">
        <v>85</v>
      </c>
      <c r="I379" s="2">
        <v>203.9</v>
      </c>
      <c r="J379" s="2">
        <v>86.6</v>
      </c>
      <c r="K379" s="3">
        <f t="shared" si="16"/>
        <v>17.657739999999997</v>
      </c>
      <c r="L379" t="s">
        <v>21</v>
      </c>
      <c r="M379" s="4">
        <v>8.0000000000000002E-3</v>
      </c>
      <c r="N379" s="5">
        <f t="shared" si="17"/>
        <v>141.26191999999998</v>
      </c>
      <c r="O379" t="s">
        <v>22</v>
      </c>
    </row>
    <row r="380" spans="1:15" x14ac:dyDescent="0.3">
      <c r="A380" t="s">
        <v>454</v>
      </c>
      <c r="B380" s="1">
        <v>46231.708333333336</v>
      </c>
      <c r="C380" t="str">
        <f t="shared" si="15"/>
        <v>2026-07</v>
      </c>
      <c r="D380" t="s">
        <v>107</v>
      </c>
      <c r="E380" t="s">
        <v>47</v>
      </c>
      <c r="F380" t="s">
        <v>25</v>
      </c>
      <c r="G380" t="s">
        <v>102</v>
      </c>
      <c r="H380" t="s">
        <v>61</v>
      </c>
      <c r="I380" s="2">
        <v>109.4</v>
      </c>
      <c r="J380" s="2">
        <v>69.599999999999994</v>
      </c>
      <c r="K380" s="3">
        <f t="shared" si="16"/>
        <v>7.6142399999999997</v>
      </c>
      <c r="L380" t="s">
        <v>55</v>
      </c>
      <c r="M380" s="4">
        <v>1.2E-2</v>
      </c>
      <c r="N380" s="5">
        <f t="shared" si="17"/>
        <v>0</v>
      </c>
      <c r="O380" t="s">
        <v>33</v>
      </c>
    </row>
    <row r="381" spans="1:15" x14ac:dyDescent="0.3">
      <c r="A381" t="s">
        <v>455</v>
      </c>
      <c r="B381" s="1">
        <v>46223.416666666664</v>
      </c>
      <c r="C381" t="str">
        <f t="shared" si="15"/>
        <v>2026-07</v>
      </c>
      <c r="D381" t="s">
        <v>16</v>
      </c>
      <c r="E381" t="s">
        <v>17</v>
      </c>
      <c r="F381" t="s">
        <v>30</v>
      </c>
      <c r="G381" t="s">
        <v>139</v>
      </c>
      <c r="H381" t="s">
        <v>20</v>
      </c>
      <c r="I381" s="2">
        <v>186.1</v>
      </c>
      <c r="J381" s="2">
        <v>60.9</v>
      </c>
      <c r="K381" s="3">
        <f t="shared" si="16"/>
        <v>11.333489999999999</v>
      </c>
      <c r="L381" t="s">
        <v>21</v>
      </c>
      <c r="M381" s="4">
        <v>1.2E-2</v>
      </c>
      <c r="N381" s="5">
        <f t="shared" si="17"/>
        <v>136.00188</v>
      </c>
      <c r="O381" t="s">
        <v>39</v>
      </c>
    </row>
    <row r="382" spans="1:15" x14ac:dyDescent="0.3">
      <c r="A382" t="s">
        <v>456</v>
      </c>
      <c r="B382" s="1">
        <v>46229.739583333336</v>
      </c>
      <c r="C382" t="str">
        <f t="shared" si="15"/>
        <v>2026-07</v>
      </c>
      <c r="D382" t="s">
        <v>51</v>
      </c>
      <c r="E382" t="s">
        <v>41</v>
      </c>
      <c r="F382" t="s">
        <v>30</v>
      </c>
      <c r="G382" t="s">
        <v>31</v>
      </c>
      <c r="H382" t="s">
        <v>32</v>
      </c>
      <c r="I382" s="2">
        <v>211</v>
      </c>
      <c r="J382" s="2">
        <v>34.200000000000003</v>
      </c>
      <c r="K382" s="3">
        <f t="shared" si="16"/>
        <v>7.2162000000000006</v>
      </c>
      <c r="L382" t="s">
        <v>78</v>
      </c>
      <c r="M382" s="4">
        <v>1.2E-2</v>
      </c>
      <c r="N382" s="5">
        <f t="shared" si="17"/>
        <v>0</v>
      </c>
      <c r="O382" t="s">
        <v>39</v>
      </c>
    </row>
    <row r="383" spans="1:15" x14ac:dyDescent="0.3">
      <c r="A383" t="s">
        <v>457</v>
      </c>
      <c r="B383" s="1">
        <v>46205.625</v>
      </c>
      <c r="C383" t="str">
        <f t="shared" si="15"/>
        <v>2026-07</v>
      </c>
      <c r="D383" t="s">
        <v>24</v>
      </c>
      <c r="E383" t="s">
        <v>29</v>
      </c>
      <c r="F383" t="s">
        <v>30</v>
      </c>
      <c r="G383" t="s">
        <v>133</v>
      </c>
      <c r="H383" t="s">
        <v>20</v>
      </c>
      <c r="I383" s="2">
        <v>178</v>
      </c>
      <c r="J383" s="2">
        <v>31</v>
      </c>
      <c r="K383" s="3">
        <f t="shared" si="16"/>
        <v>5.5179999999999998</v>
      </c>
      <c r="L383" t="s">
        <v>21</v>
      </c>
      <c r="M383" s="4">
        <v>0.02</v>
      </c>
      <c r="N383" s="5">
        <f t="shared" si="17"/>
        <v>110.36</v>
      </c>
      <c r="O383" t="s">
        <v>44</v>
      </c>
    </row>
    <row r="384" spans="1:15" x14ac:dyDescent="0.3">
      <c r="A384" t="s">
        <v>458</v>
      </c>
      <c r="B384" s="1">
        <v>46230.65625</v>
      </c>
      <c r="C384" t="str">
        <f t="shared" si="15"/>
        <v>2026-07</v>
      </c>
      <c r="D384" t="s">
        <v>73</v>
      </c>
      <c r="E384" t="s">
        <v>36</v>
      </c>
      <c r="F384" t="s">
        <v>63</v>
      </c>
      <c r="G384" t="s">
        <v>88</v>
      </c>
      <c r="H384" t="s">
        <v>32</v>
      </c>
      <c r="I384" s="2">
        <v>94.8</v>
      </c>
      <c r="J384" s="2">
        <v>141.5</v>
      </c>
      <c r="K384" s="3">
        <f t="shared" si="16"/>
        <v>13.414199999999999</v>
      </c>
      <c r="L384" t="s">
        <v>78</v>
      </c>
      <c r="M384" s="4">
        <v>0.02</v>
      </c>
      <c r="N384" s="5">
        <f t="shared" si="17"/>
        <v>0</v>
      </c>
      <c r="O384" t="s">
        <v>33</v>
      </c>
    </row>
    <row r="385" spans="1:15" x14ac:dyDescent="0.3">
      <c r="A385" t="s">
        <v>459</v>
      </c>
      <c r="B385" s="1">
        <v>46224.354166666664</v>
      </c>
      <c r="C385" t="str">
        <f t="shared" si="15"/>
        <v>2026-07</v>
      </c>
      <c r="D385" t="s">
        <v>35</v>
      </c>
      <c r="E385" t="s">
        <v>17</v>
      </c>
      <c r="F385" t="s">
        <v>52</v>
      </c>
      <c r="G385" t="s">
        <v>109</v>
      </c>
      <c r="H385" t="s">
        <v>54</v>
      </c>
      <c r="I385" s="2">
        <v>76.599999999999994</v>
      </c>
      <c r="J385" s="2">
        <v>176.6</v>
      </c>
      <c r="K385" s="3">
        <f t="shared" si="16"/>
        <v>13.527559999999998</v>
      </c>
      <c r="L385" t="s">
        <v>43</v>
      </c>
      <c r="M385" s="4">
        <v>8.0000000000000002E-3</v>
      </c>
      <c r="N385" s="5">
        <f t="shared" si="17"/>
        <v>0</v>
      </c>
      <c r="O385" t="s">
        <v>79</v>
      </c>
    </row>
    <row r="386" spans="1:15" x14ac:dyDescent="0.3">
      <c r="A386" t="s">
        <v>460</v>
      </c>
      <c r="B386" s="1">
        <v>46224.59375</v>
      </c>
      <c r="C386" t="str">
        <f t="shared" si="15"/>
        <v>2026-07</v>
      </c>
      <c r="D386" t="s">
        <v>107</v>
      </c>
      <c r="E386" t="s">
        <v>41</v>
      </c>
      <c r="F386" t="s">
        <v>37</v>
      </c>
      <c r="G386" t="s">
        <v>76</v>
      </c>
      <c r="H386" t="s">
        <v>61</v>
      </c>
      <c r="I386" s="2">
        <v>59.8</v>
      </c>
      <c r="J386" s="2">
        <v>214.3</v>
      </c>
      <c r="K386" s="3">
        <f t="shared" si="16"/>
        <v>12.81514</v>
      </c>
      <c r="L386" t="s">
        <v>21</v>
      </c>
      <c r="M386" s="4">
        <v>1.4999999999999999E-2</v>
      </c>
      <c r="N386" s="5">
        <f t="shared" si="17"/>
        <v>192.22709999999998</v>
      </c>
      <c r="O386" t="s">
        <v>44</v>
      </c>
    </row>
    <row r="387" spans="1:15" x14ac:dyDescent="0.3">
      <c r="A387" t="s">
        <v>461</v>
      </c>
      <c r="B387" s="1">
        <v>46204.604166666664</v>
      </c>
      <c r="C387" t="str">
        <f t="shared" ref="C387:C421" si="18">TEXT(B387,"yyyy-mm")</f>
        <v>2026-07</v>
      </c>
      <c r="D387" t="s">
        <v>16</v>
      </c>
      <c r="E387" t="s">
        <v>36</v>
      </c>
      <c r="F387" t="s">
        <v>25</v>
      </c>
      <c r="G387" t="s">
        <v>67</v>
      </c>
      <c r="H387" t="s">
        <v>20</v>
      </c>
      <c r="I387" s="2">
        <v>85.2</v>
      </c>
      <c r="J387" s="2">
        <v>108.9</v>
      </c>
      <c r="K387" s="3">
        <f t="shared" ref="K387:K421" si="19">I387*J387/1000</f>
        <v>9.2782800000000005</v>
      </c>
      <c r="L387" t="s">
        <v>21</v>
      </c>
      <c r="M387" s="4">
        <v>8.0000000000000002E-3</v>
      </c>
      <c r="N387" s="5">
        <f t="shared" ref="N387:N421" si="20">IF(L387="Đã bán",K387*M387*1000,0)</f>
        <v>74.226240000000004</v>
      </c>
      <c r="O387" t="s">
        <v>22</v>
      </c>
    </row>
    <row r="388" spans="1:15" x14ac:dyDescent="0.3">
      <c r="A388" t="s">
        <v>462</v>
      </c>
      <c r="B388" s="1">
        <v>46210.78125</v>
      </c>
      <c r="C388" t="str">
        <f t="shared" si="18"/>
        <v>2026-07</v>
      </c>
      <c r="D388" t="s">
        <v>107</v>
      </c>
      <c r="E388" t="s">
        <v>47</v>
      </c>
      <c r="F388" t="s">
        <v>63</v>
      </c>
      <c r="G388" t="s">
        <v>88</v>
      </c>
      <c r="H388" t="s">
        <v>81</v>
      </c>
      <c r="I388" s="2">
        <v>107.7</v>
      </c>
      <c r="J388" s="2">
        <v>141.19999999999999</v>
      </c>
      <c r="K388" s="3">
        <f t="shared" si="19"/>
        <v>15.207240000000001</v>
      </c>
      <c r="L388" t="s">
        <v>55</v>
      </c>
      <c r="M388" s="4">
        <v>0.01</v>
      </c>
      <c r="N388" s="5">
        <f t="shared" si="20"/>
        <v>0</v>
      </c>
      <c r="O388" t="s">
        <v>33</v>
      </c>
    </row>
    <row r="389" spans="1:15" x14ac:dyDescent="0.3">
      <c r="A389" t="s">
        <v>463</v>
      </c>
      <c r="B389" s="1">
        <v>46226.5</v>
      </c>
      <c r="C389" t="str">
        <f t="shared" si="18"/>
        <v>2026-07</v>
      </c>
      <c r="D389" t="s">
        <v>51</v>
      </c>
      <c r="E389" t="s">
        <v>29</v>
      </c>
      <c r="F389" t="s">
        <v>63</v>
      </c>
      <c r="G389" t="s">
        <v>122</v>
      </c>
      <c r="H389" t="s">
        <v>32</v>
      </c>
      <c r="I389" s="2">
        <v>106.3</v>
      </c>
      <c r="J389" s="2">
        <v>175.8</v>
      </c>
      <c r="K389" s="3">
        <f t="shared" si="19"/>
        <v>18.687540000000002</v>
      </c>
      <c r="L389" t="s">
        <v>21</v>
      </c>
      <c r="M389" s="4">
        <v>0.02</v>
      </c>
      <c r="N389" s="5">
        <f t="shared" si="20"/>
        <v>373.75080000000003</v>
      </c>
      <c r="O389" t="s">
        <v>44</v>
      </c>
    </row>
    <row r="390" spans="1:15" x14ac:dyDescent="0.3">
      <c r="A390" t="s">
        <v>464</v>
      </c>
      <c r="B390" s="1">
        <v>46225.4375</v>
      </c>
      <c r="C390" t="str">
        <f t="shared" si="18"/>
        <v>2026-07</v>
      </c>
      <c r="D390" t="s">
        <v>46</v>
      </c>
      <c r="E390" t="s">
        <v>47</v>
      </c>
      <c r="F390" t="s">
        <v>37</v>
      </c>
      <c r="G390" t="s">
        <v>76</v>
      </c>
      <c r="H390" t="s">
        <v>61</v>
      </c>
      <c r="I390" s="2">
        <v>139.9</v>
      </c>
      <c r="J390" s="2">
        <v>150.6</v>
      </c>
      <c r="K390" s="3">
        <f t="shared" si="19"/>
        <v>21.068939999999998</v>
      </c>
      <c r="L390" t="s">
        <v>55</v>
      </c>
      <c r="M390" s="4">
        <v>1.4999999999999999E-2</v>
      </c>
      <c r="N390" s="5">
        <f t="shared" si="20"/>
        <v>0</v>
      </c>
      <c r="O390" t="s">
        <v>22</v>
      </c>
    </row>
    <row r="391" spans="1:15" x14ac:dyDescent="0.3">
      <c r="A391" t="s">
        <v>465</v>
      </c>
      <c r="B391" s="1">
        <v>46225.520833333336</v>
      </c>
      <c r="C391" t="str">
        <f t="shared" si="18"/>
        <v>2026-07</v>
      </c>
      <c r="D391" t="s">
        <v>51</v>
      </c>
      <c r="E391" t="s">
        <v>41</v>
      </c>
      <c r="F391" t="s">
        <v>37</v>
      </c>
      <c r="G391" t="s">
        <v>38</v>
      </c>
      <c r="H391" t="s">
        <v>65</v>
      </c>
      <c r="I391" s="2">
        <v>134.9</v>
      </c>
      <c r="J391" s="2">
        <v>128.1</v>
      </c>
      <c r="K391" s="3">
        <f t="shared" si="19"/>
        <v>17.28069</v>
      </c>
      <c r="L391" t="s">
        <v>78</v>
      </c>
      <c r="M391" s="4">
        <v>8.0000000000000002E-3</v>
      </c>
      <c r="N391" s="5">
        <f t="shared" si="20"/>
        <v>0</v>
      </c>
      <c r="O391" t="s">
        <v>22</v>
      </c>
    </row>
    <row r="392" spans="1:15" x14ac:dyDescent="0.3">
      <c r="A392" t="s">
        <v>466</v>
      </c>
      <c r="B392" s="1">
        <v>46209.59375</v>
      </c>
      <c r="C392" t="str">
        <f t="shared" si="18"/>
        <v>2026-07</v>
      </c>
      <c r="D392" t="s">
        <v>35</v>
      </c>
      <c r="E392" t="s">
        <v>47</v>
      </c>
      <c r="F392" t="s">
        <v>30</v>
      </c>
      <c r="G392" t="s">
        <v>42</v>
      </c>
      <c r="H392" t="s">
        <v>81</v>
      </c>
      <c r="I392" s="2">
        <v>193.5</v>
      </c>
      <c r="J392" s="2">
        <v>64.099999999999994</v>
      </c>
      <c r="K392" s="3">
        <f t="shared" si="19"/>
        <v>12.403349999999998</v>
      </c>
      <c r="L392" t="s">
        <v>43</v>
      </c>
      <c r="M392" s="4">
        <v>8.0000000000000002E-3</v>
      </c>
      <c r="N392" s="5">
        <f t="shared" si="20"/>
        <v>0</v>
      </c>
      <c r="O392" t="s">
        <v>39</v>
      </c>
    </row>
    <row r="393" spans="1:15" x14ac:dyDescent="0.3">
      <c r="A393" t="s">
        <v>467</v>
      </c>
      <c r="B393" s="1">
        <v>46234.489583333336</v>
      </c>
      <c r="C393" t="str">
        <f t="shared" si="18"/>
        <v>2026-07</v>
      </c>
      <c r="D393" t="s">
        <v>16</v>
      </c>
      <c r="E393" t="s">
        <v>47</v>
      </c>
      <c r="F393" t="s">
        <v>18</v>
      </c>
      <c r="G393" t="s">
        <v>48</v>
      </c>
      <c r="H393" t="s">
        <v>61</v>
      </c>
      <c r="I393" s="2">
        <v>237.8</v>
      </c>
      <c r="J393" s="2">
        <v>135.4</v>
      </c>
      <c r="K393" s="3">
        <f t="shared" si="19"/>
        <v>32.198120000000003</v>
      </c>
      <c r="L393" t="s">
        <v>21</v>
      </c>
      <c r="M393" s="4">
        <v>8.0000000000000002E-3</v>
      </c>
      <c r="N393" s="5">
        <f t="shared" si="20"/>
        <v>257.58496000000002</v>
      </c>
      <c r="O393" t="s">
        <v>79</v>
      </c>
    </row>
    <row r="394" spans="1:15" x14ac:dyDescent="0.3">
      <c r="A394" t="s">
        <v>468</v>
      </c>
      <c r="B394" s="1">
        <v>46213.583333333336</v>
      </c>
      <c r="C394" t="str">
        <f t="shared" si="18"/>
        <v>2026-07</v>
      </c>
      <c r="D394" t="s">
        <v>107</v>
      </c>
      <c r="E394" t="s">
        <v>41</v>
      </c>
      <c r="F394" t="s">
        <v>37</v>
      </c>
      <c r="G394" t="s">
        <v>76</v>
      </c>
      <c r="H394" t="s">
        <v>59</v>
      </c>
      <c r="I394" s="2">
        <v>135.80000000000001</v>
      </c>
      <c r="J394" s="2">
        <v>84.2</v>
      </c>
      <c r="K394" s="3">
        <f t="shared" si="19"/>
        <v>11.43436</v>
      </c>
      <c r="L394" t="s">
        <v>21</v>
      </c>
      <c r="M394" s="4">
        <v>0.01</v>
      </c>
      <c r="N394" s="5">
        <f t="shared" si="20"/>
        <v>114.34360000000001</v>
      </c>
      <c r="O394" t="s">
        <v>33</v>
      </c>
    </row>
    <row r="395" spans="1:15" x14ac:dyDescent="0.3">
      <c r="A395" t="s">
        <v>469</v>
      </c>
      <c r="B395" s="1">
        <v>46216.625</v>
      </c>
      <c r="C395" t="str">
        <f t="shared" si="18"/>
        <v>2026-07</v>
      </c>
      <c r="D395" t="s">
        <v>16</v>
      </c>
      <c r="E395" t="s">
        <v>41</v>
      </c>
      <c r="F395" t="s">
        <v>18</v>
      </c>
      <c r="G395" t="s">
        <v>64</v>
      </c>
      <c r="H395" t="s">
        <v>81</v>
      </c>
      <c r="I395" s="2">
        <v>452</v>
      </c>
      <c r="J395" s="2">
        <v>231.8</v>
      </c>
      <c r="K395" s="3">
        <f t="shared" si="19"/>
        <v>104.7736</v>
      </c>
      <c r="L395" t="s">
        <v>21</v>
      </c>
      <c r="M395" s="4">
        <v>0.01</v>
      </c>
      <c r="N395" s="5">
        <f t="shared" si="20"/>
        <v>1047.7360000000001</v>
      </c>
      <c r="O395" t="s">
        <v>22</v>
      </c>
    </row>
    <row r="396" spans="1:15" x14ac:dyDescent="0.3">
      <c r="A396" t="s">
        <v>470</v>
      </c>
      <c r="B396" s="1">
        <v>46223.635416666664</v>
      </c>
      <c r="C396" t="str">
        <f t="shared" si="18"/>
        <v>2026-07</v>
      </c>
      <c r="D396" t="s">
        <v>24</v>
      </c>
      <c r="E396" t="s">
        <v>47</v>
      </c>
      <c r="F396" t="s">
        <v>37</v>
      </c>
      <c r="G396" t="s">
        <v>70</v>
      </c>
      <c r="H396" t="s">
        <v>32</v>
      </c>
      <c r="I396" s="2">
        <v>120.8</v>
      </c>
      <c r="J396" s="2">
        <v>170.6</v>
      </c>
      <c r="K396" s="3">
        <f t="shared" si="19"/>
        <v>20.60848</v>
      </c>
      <c r="L396" t="s">
        <v>55</v>
      </c>
      <c r="M396" s="4">
        <v>0.01</v>
      </c>
      <c r="N396" s="5">
        <f t="shared" si="20"/>
        <v>0</v>
      </c>
      <c r="O396" t="s">
        <v>79</v>
      </c>
    </row>
    <row r="397" spans="1:15" x14ac:dyDescent="0.3">
      <c r="A397" t="s">
        <v>471</v>
      </c>
      <c r="B397" s="1">
        <v>46211.34375</v>
      </c>
      <c r="C397" t="str">
        <f t="shared" si="18"/>
        <v>2026-07</v>
      </c>
      <c r="D397" t="s">
        <v>35</v>
      </c>
      <c r="E397" t="s">
        <v>17</v>
      </c>
      <c r="F397" t="s">
        <v>25</v>
      </c>
      <c r="G397" t="s">
        <v>26</v>
      </c>
      <c r="H397" t="s">
        <v>85</v>
      </c>
      <c r="I397" s="2">
        <v>131.9</v>
      </c>
      <c r="J397" s="2">
        <v>93.6</v>
      </c>
      <c r="K397" s="3">
        <f t="shared" si="19"/>
        <v>12.345840000000001</v>
      </c>
      <c r="L397" t="s">
        <v>21</v>
      </c>
      <c r="M397" s="4">
        <v>0.01</v>
      </c>
      <c r="N397" s="5">
        <f t="shared" si="20"/>
        <v>123.45840000000001</v>
      </c>
      <c r="O397" t="s">
        <v>79</v>
      </c>
    </row>
    <row r="398" spans="1:15" x14ac:dyDescent="0.3">
      <c r="A398" t="s">
        <v>472</v>
      </c>
      <c r="B398" s="1">
        <v>46226.739583333336</v>
      </c>
      <c r="C398" t="str">
        <f t="shared" si="18"/>
        <v>2026-07</v>
      </c>
      <c r="D398" t="s">
        <v>51</v>
      </c>
      <c r="E398" t="s">
        <v>29</v>
      </c>
      <c r="F398" t="s">
        <v>63</v>
      </c>
      <c r="G398" t="s">
        <v>64</v>
      </c>
      <c r="H398" t="s">
        <v>71</v>
      </c>
      <c r="I398" s="2">
        <v>149.9</v>
      </c>
      <c r="J398" s="2">
        <v>188</v>
      </c>
      <c r="K398" s="3">
        <f t="shared" si="19"/>
        <v>28.1812</v>
      </c>
      <c r="L398" t="s">
        <v>21</v>
      </c>
      <c r="M398" s="4">
        <v>0.02</v>
      </c>
      <c r="N398" s="5">
        <f t="shared" si="20"/>
        <v>563.62400000000002</v>
      </c>
      <c r="O398" t="s">
        <v>33</v>
      </c>
    </row>
    <row r="399" spans="1:15" x14ac:dyDescent="0.3">
      <c r="A399" t="s">
        <v>473</v>
      </c>
      <c r="B399" s="1">
        <v>46218.541666666664</v>
      </c>
      <c r="C399" t="str">
        <f t="shared" si="18"/>
        <v>2026-07</v>
      </c>
      <c r="D399" t="s">
        <v>51</v>
      </c>
      <c r="E399" t="s">
        <v>17</v>
      </c>
      <c r="F399" t="s">
        <v>52</v>
      </c>
      <c r="G399" t="s">
        <v>57</v>
      </c>
      <c r="H399" t="s">
        <v>74</v>
      </c>
      <c r="I399" s="2">
        <v>160.4</v>
      </c>
      <c r="J399" s="2">
        <v>84.9</v>
      </c>
      <c r="K399" s="3">
        <f t="shared" si="19"/>
        <v>13.61796</v>
      </c>
      <c r="L399" t="s">
        <v>78</v>
      </c>
      <c r="M399" s="4">
        <v>1.2E-2</v>
      </c>
      <c r="N399" s="5">
        <f t="shared" si="20"/>
        <v>0</v>
      </c>
      <c r="O399" t="s">
        <v>39</v>
      </c>
    </row>
    <row r="400" spans="1:15" x14ac:dyDescent="0.3">
      <c r="A400" t="s">
        <v>474</v>
      </c>
      <c r="B400" s="1">
        <v>46211.520833333336</v>
      </c>
      <c r="C400" t="str">
        <f t="shared" si="18"/>
        <v>2026-07</v>
      </c>
      <c r="D400" t="s">
        <v>69</v>
      </c>
      <c r="E400" t="s">
        <v>41</v>
      </c>
      <c r="F400" t="s">
        <v>37</v>
      </c>
      <c r="G400" t="s">
        <v>70</v>
      </c>
      <c r="H400" t="s">
        <v>85</v>
      </c>
      <c r="I400" s="2">
        <v>157.69999999999999</v>
      </c>
      <c r="J400" s="2">
        <v>190.8</v>
      </c>
      <c r="K400" s="3">
        <f t="shared" si="19"/>
        <v>30.08916</v>
      </c>
      <c r="L400" t="s">
        <v>78</v>
      </c>
      <c r="M400" s="4">
        <v>1.4999999999999999E-2</v>
      </c>
      <c r="N400" s="5">
        <f t="shared" si="20"/>
        <v>0</v>
      </c>
      <c r="O400" t="s">
        <v>22</v>
      </c>
    </row>
    <row r="401" spans="1:15" x14ac:dyDescent="0.3">
      <c r="A401" t="s">
        <v>475</v>
      </c>
      <c r="B401" s="1">
        <v>46231.4375</v>
      </c>
      <c r="C401" t="str">
        <f t="shared" si="18"/>
        <v>2026-07</v>
      </c>
      <c r="D401" t="s">
        <v>46</v>
      </c>
      <c r="E401" t="s">
        <v>36</v>
      </c>
      <c r="F401" t="s">
        <v>52</v>
      </c>
      <c r="G401" t="s">
        <v>109</v>
      </c>
      <c r="H401" t="s">
        <v>54</v>
      </c>
      <c r="I401" s="2">
        <v>92.3</v>
      </c>
      <c r="J401" s="2">
        <v>109.5</v>
      </c>
      <c r="K401" s="3">
        <f t="shared" si="19"/>
        <v>10.10685</v>
      </c>
      <c r="L401" t="s">
        <v>21</v>
      </c>
      <c r="M401" s="4">
        <v>0.01</v>
      </c>
      <c r="N401" s="5">
        <f t="shared" si="20"/>
        <v>101.0685</v>
      </c>
      <c r="O401" t="s">
        <v>79</v>
      </c>
    </row>
    <row r="402" spans="1:15" x14ac:dyDescent="0.3">
      <c r="A402" t="s">
        <v>476</v>
      </c>
      <c r="B402" s="1">
        <v>46227.59375</v>
      </c>
      <c r="C402" t="str">
        <f t="shared" si="18"/>
        <v>2026-07</v>
      </c>
      <c r="D402" t="s">
        <v>69</v>
      </c>
      <c r="E402" t="s">
        <v>17</v>
      </c>
      <c r="F402" t="s">
        <v>30</v>
      </c>
      <c r="G402" t="s">
        <v>31</v>
      </c>
      <c r="H402" t="s">
        <v>49</v>
      </c>
      <c r="I402" s="2">
        <v>118.2</v>
      </c>
      <c r="J402" s="2">
        <v>45.6</v>
      </c>
      <c r="K402" s="3">
        <f t="shared" si="19"/>
        <v>5.38992</v>
      </c>
      <c r="L402" t="s">
        <v>21</v>
      </c>
      <c r="M402" s="4">
        <v>1.2E-2</v>
      </c>
      <c r="N402" s="5">
        <f t="shared" si="20"/>
        <v>64.679040000000001</v>
      </c>
      <c r="O402" t="s">
        <v>22</v>
      </c>
    </row>
    <row r="403" spans="1:15" x14ac:dyDescent="0.3">
      <c r="A403" t="s">
        <v>477</v>
      </c>
      <c r="B403" s="1">
        <v>46211.489583333336</v>
      </c>
      <c r="C403" t="str">
        <f t="shared" si="18"/>
        <v>2026-07</v>
      </c>
      <c r="D403" t="s">
        <v>16</v>
      </c>
      <c r="E403" t="s">
        <v>41</v>
      </c>
      <c r="F403" t="s">
        <v>30</v>
      </c>
      <c r="G403" t="s">
        <v>133</v>
      </c>
      <c r="H403" t="s">
        <v>71</v>
      </c>
      <c r="I403" s="2">
        <v>130.6</v>
      </c>
      <c r="J403" s="2">
        <v>41.1</v>
      </c>
      <c r="K403" s="3">
        <f t="shared" si="19"/>
        <v>5.3676599999999999</v>
      </c>
      <c r="L403" t="s">
        <v>21</v>
      </c>
      <c r="M403" s="4">
        <v>0.01</v>
      </c>
      <c r="N403" s="5">
        <f t="shared" si="20"/>
        <v>53.676600000000001</v>
      </c>
      <c r="O403" t="s">
        <v>39</v>
      </c>
    </row>
    <row r="404" spans="1:15" x14ac:dyDescent="0.3">
      <c r="A404" t="s">
        <v>478</v>
      </c>
      <c r="B404" s="1">
        <v>46213.583333333336</v>
      </c>
      <c r="C404" t="str">
        <f t="shared" si="18"/>
        <v>2026-07</v>
      </c>
      <c r="D404" t="s">
        <v>46</v>
      </c>
      <c r="E404" t="s">
        <v>47</v>
      </c>
      <c r="F404" t="s">
        <v>18</v>
      </c>
      <c r="G404" t="s">
        <v>19</v>
      </c>
      <c r="H404" t="s">
        <v>27</v>
      </c>
      <c r="I404" s="2">
        <v>276.39999999999998</v>
      </c>
      <c r="J404" s="2">
        <v>138.80000000000001</v>
      </c>
      <c r="K404" s="3">
        <f t="shared" si="19"/>
        <v>38.364319999999999</v>
      </c>
      <c r="L404" t="s">
        <v>43</v>
      </c>
      <c r="M404" s="4">
        <v>0.01</v>
      </c>
      <c r="N404" s="5">
        <f t="shared" si="20"/>
        <v>0</v>
      </c>
      <c r="O404" t="s">
        <v>79</v>
      </c>
    </row>
    <row r="405" spans="1:15" x14ac:dyDescent="0.3">
      <c r="A405" t="s">
        <v>479</v>
      </c>
      <c r="B405" s="1">
        <v>46228.354166666664</v>
      </c>
      <c r="C405" t="str">
        <f t="shared" si="18"/>
        <v>2026-07</v>
      </c>
      <c r="D405" t="s">
        <v>24</v>
      </c>
      <c r="E405" t="s">
        <v>41</v>
      </c>
      <c r="F405" t="s">
        <v>30</v>
      </c>
      <c r="G405" t="s">
        <v>139</v>
      </c>
      <c r="H405" t="s">
        <v>59</v>
      </c>
      <c r="I405" s="2">
        <v>91.4</v>
      </c>
      <c r="J405" s="2">
        <v>58.6</v>
      </c>
      <c r="K405" s="3">
        <f t="shared" si="19"/>
        <v>5.356040000000001</v>
      </c>
      <c r="L405" t="s">
        <v>55</v>
      </c>
      <c r="M405" s="4">
        <v>0.02</v>
      </c>
      <c r="N405" s="5">
        <f t="shared" si="20"/>
        <v>0</v>
      </c>
      <c r="O405" t="s">
        <v>79</v>
      </c>
    </row>
    <row r="406" spans="1:15" x14ac:dyDescent="0.3">
      <c r="A406" t="s">
        <v>480</v>
      </c>
      <c r="B406" s="1">
        <v>46231.614583333336</v>
      </c>
      <c r="C406" t="str">
        <f t="shared" si="18"/>
        <v>2026-07</v>
      </c>
      <c r="D406" t="s">
        <v>24</v>
      </c>
      <c r="E406" t="s">
        <v>17</v>
      </c>
      <c r="F406" t="s">
        <v>52</v>
      </c>
      <c r="G406" t="s">
        <v>53</v>
      </c>
      <c r="H406" t="s">
        <v>20</v>
      </c>
      <c r="I406" s="2">
        <v>153.4</v>
      </c>
      <c r="J406" s="2">
        <v>167.3</v>
      </c>
      <c r="K406" s="3">
        <f t="shared" si="19"/>
        <v>25.663820000000005</v>
      </c>
      <c r="L406" t="s">
        <v>55</v>
      </c>
      <c r="M406" s="4">
        <v>8.0000000000000002E-3</v>
      </c>
      <c r="N406" s="5">
        <f t="shared" si="20"/>
        <v>0</v>
      </c>
      <c r="O406" t="s">
        <v>44</v>
      </c>
    </row>
    <row r="407" spans="1:15" x14ac:dyDescent="0.3">
      <c r="A407" t="s">
        <v>481</v>
      </c>
      <c r="B407" s="1">
        <v>46206.520833333336</v>
      </c>
      <c r="C407" t="str">
        <f t="shared" si="18"/>
        <v>2026-07</v>
      </c>
      <c r="D407" t="s">
        <v>35</v>
      </c>
      <c r="E407" t="s">
        <v>47</v>
      </c>
      <c r="F407" t="s">
        <v>63</v>
      </c>
      <c r="G407" t="s">
        <v>67</v>
      </c>
      <c r="H407" t="s">
        <v>32</v>
      </c>
      <c r="I407" s="2">
        <v>152.4</v>
      </c>
      <c r="J407" s="2">
        <v>182</v>
      </c>
      <c r="K407" s="3">
        <f t="shared" si="19"/>
        <v>27.736799999999999</v>
      </c>
      <c r="L407" t="s">
        <v>43</v>
      </c>
      <c r="M407" s="4">
        <v>1.4999999999999999E-2</v>
      </c>
      <c r="N407" s="5">
        <f t="shared" si="20"/>
        <v>0</v>
      </c>
      <c r="O407" t="s">
        <v>22</v>
      </c>
    </row>
    <row r="408" spans="1:15" x14ac:dyDescent="0.3">
      <c r="A408" t="s">
        <v>482</v>
      </c>
      <c r="B408" s="1">
        <v>46225.489583333336</v>
      </c>
      <c r="C408" t="str">
        <f t="shared" si="18"/>
        <v>2026-07</v>
      </c>
      <c r="D408" t="s">
        <v>46</v>
      </c>
      <c r="E408" t="s">
        <v>29</v>
      </c>
      <c r="F408" t="s">
        <v>63</v>
      </c>
      <c r="G408" t="s">
        <v>88</v>
      </c>
      <c r="H408" t="s">
        <v>61</v>
      </c>
      <c r="I408" s="2">
        <v>79.599999999999994</v>
      </c>
      <c r="J408" s="2">
        <v>191</v>
      </c>
      <c r="K408" s="3">
        <f t="shared" si="19"/>
        <v>15.203599999999998</v>
      </c>
      <c r="L408" t="s">
        <v>21</v>
      </c>
      <c r="M408" s="4">
        <v>1.2E-2</v>
      </c>
      <c r="N408" s="5">
        <f t="shared" si="20"/>
        <v>182.44319999999996</v>
      </c>
      <c r="O408" t="s">
        <v>79</v>
      </c>
    </row>
    <row r="409" spans="1:15" x14ac:dyDescent="0.3">
      <c r="A409" t="s">
        <v>483</v>
      </c>
      <c r="B409" s="1">
        <v>46212.479166666664</v>
      </c>
      <c r="C409" t="str">
        <f t="shared" si="18"/>
        <v>2026-07</v>
      </c>
      <c r="D409" t="s">
        <v>69</v>
      </c>
      <c r="E409" t="s">
        <v>36</v>
      </c>
      <c r="F409" t="s">
        <v>37</v>
      </c>
      <c r="G409" t="s">
        <v>156</v>
      </c>
      <c r="H409" t="s">
        <v>49</v>
      </c>
      <c r="I409" s="2">
        <v>88.6</v>
      </c>
      <c r="J409" s="2">
        <v>201.2</v>
      </c>
      <c r="K409" s="3">
        <f t="shared" si="19"/>
        <v>17.826319999999996</v>
      </c>
      <c r="L409" t="s">
        <v>55</v>
      </c>
      <c r="M409" s="4">
        <v>8.0000000000000002E-3</v>
      </c>
      <c r="N409" s="5">
        <f t="shared" si="20"/>
        <v>0</v>
      </c>
      <c r="O409" t="s">
        <v>22</v>
      </c>
    </row>
    <row r="410" spans="1:15" x14ac:dyDescent="0.3">
      <c r="A410" t="s">
        <v>484</v>
      </c>
      <c r="B410" s="1">
        <v>46207.5</v>
      </c>
      <c r="C410" t="str">
        <f t="shared" si="18"/>
        <v>2026-07</v>
      </c>
      <c r="D410" t="s">
        <v>107</v>
      </c>
      <c r="E410" t="s">
        <v>41</v>
      </c>
      <c r="F410" t="s">
        <v>37</v>
      </c>
      <c r="G410" t="s">
        <v>76</v>
      </c>
      <c r="H410" t="s">
        <v>20</v>
      </c>
      <c r="I410" s="2">
        <v>155.6</v>
      </c>
      <c r="J410" s="2">
        <v>195.6</v>
      </c>
      <c r="K410" s="3">
        <f t="shared" si="19"/>
        <v>30.435359999999996</v>
      </c>
      <c r="L410" t="s">
        <v>21</v>
      </c>
      <c r="M410" s="4">
        <v>1.4999999999999999E-2</v>
      </c>
      <c r="N410" s="5">
        <f t="shared" si="20"/>
        <v>456.53039999999987</v>
      </c>
      <c r="O410" t="s">
        <v>22</v>
      </c>
    </row>
    <row r="411" spans="1:15" x14ac:dyDescent="0.3">
      <c r="A411" t="s">
        <v>485</v>
      </c>
      <c r="B411" s="1">
        <v>46213.59375</v>
      </c>
      <c r="C411" t="str">
        <f t="shared" si="18"/>
        <v>2026-07</v>
      </c>
      <c r="D411" t="s">
        <v>107</v>
      </c>
      <c r="E411" t="s">
        <v>36</v>
      </c>
      <c r="F411" t="s">
        <v>18</v>
      </c>
      <c r="G411" t="s">
        <v>64</v>
      </c>
      <c r="H411" t="s">
        <v>61</v>
      </c>
      <c r="I411" s="2">
        <v>182.2</v>
      </c>
      <c r="J411" s="2">
        <v>245.1</v>
      </c>
      <c r="K411" s="3">
        <f t="shared" si="19"/>
        <v>44.657219999999995</v>
      </c>
      <c r="L411" t="s">
        <v>55</v>
      </c>
      <c r="M411" s="4">
        <v>0.01</v>
      </c>
      <c r="N411" s="5">
        <f t="shared" si="20"/>
        <v>0</v>
      </c>
      <c r="O411" t="s">
        <v>33</v>
      </c>
    </row>
    <row r="412" spans="1:15" x14ac:dyDescent="0.3">
      <c r="A412" t="s">
        <v>486</v>
      </c>
      <c r="B412" s="1">
        <v>46227.645833333336</v>
      </c>
      <c r="C412" t="str">
        <f t="shared" si="18"/>
        <v>2026-07</v>
      </c>
      <c r="D412" t="s">
        <v>16</v>
      </c>
      <c r="E412" t="s">
        <v>41</v>
      </c>
      <c r="F412" t="s">
        <v>18</v>
      </c>
      <c r="G412" t="s">
        <v>19</v>
      </c>
      <c r="H412" t="s">
        <v>74</v>
      </c>
      <c r="I412" s="2">
        <v>264.3</v>
      </c>
      <c r="J412" s="2">
        <v>229.7</v>
      </c>
      <c r="K412" s="3">
        <f t="shared" si="19"/>
        <v>60.709710000000001</v>
      </c>
      <c r="L412" t="s">
        <v>21</v>
      </c>
      <c r="M412" s="4">
        <v>1.2E-2</v>
      </c>
      <c r="N412" s="5">
        <f t="shared" si="20"/>
        <v>728.51652000000001</v>
      </c>
      <c r="O412" t="s">
        <v>44</v>
      </c>
    </row>
    <row r="413" spans="1:15" x14ac:dyDescent="0.3">
      <c r="A413" t="s">
        <v>487</v>
      </c>
      <c r="B413" s="1">
        <v>46204.385416666664</v>
      </c>
      <c r="C413" t="str">
        <f t="shared" si="18"/>
        <v>2026-07</v>
      </c>
      <c r="D413" t="s">
        <v>51</v>
      </c>
      <c r="E413" t="s">
        <v>41</v>
      </c>
      <c r="F413" t="s">
        <v>30</v>
      </c>
      <c r="G413" t="s">
        <v>139</v>
      </c>
      <c r="H413" t="s">
        <v>74</v>
      </c>
      <c r="I413" s="2">
        <v>241</v>
      </c>
      <c r="J413" s="2">
        <v>20.9</v>
      </c>
      <c r="K413" s="3">
        <f t="shared" si="19"/>
        <v>5.0368999999999993</v>
      </c>
      <c r="L413" t="s">
        <v>21</v>
      </c>
      <c r="M413" s="4">
        <v>1.4999999999999999E-2</v>
      </c>
      <c r="N413" s="5">
        <f t="shared" si="20"/>
        <v>75.553499999999985</v>
      </c>
      <c r="O413" t="s">
        <v>39</v>
      </c>
    </row>
    <row r="414" spans="1:15" x14ac:dyDescent="0.3">
      <c r="A414" t="s">
        <v>488</v>
      </c>
      <c r="B414" s="1">
        <v>46233.614583333336</v>
      </c>
      <c r="C414" t="str">
        <f t="shared" si="18"/>
        <v>2026-07</v>
      </c>
      <c r="D414" t="s">
        <v>73</v>
      </c>
      <c r="E414" t="s">
        <v>41</v>
      </c>
      <c r="F414" t="s">
        <v>18</v>
      </c>
      <c r="G414" t="s">
        <v>84</v>
      </c>
      <c r="H414" t="s">
        <v>81</v>
      </c>
      <c r="I414" s="2">
        <v>288.10000000000002</v>
      </c>
      <c r="J414" s="2">
        <v>130.69999999999999</v>
      </c>
      <c r="K414" s="3">
        <f t="shared" si="19"/>
        <v>37.654669999999996</v>
      </c>
      <c r="L414" t="s">
        <v>43</v>
      </c>
      <c r="M414" s="4">
        <v>1.4999999999999999E-2</v>
      </c>
      <c r="N414" s="5">
        <f t="shared" si="20"/>
        <v>0</v>
      </c>
      <c r="O414" t="s">
        <v>79</v>
      </c>
    </row>
    <row r="415" spans="1:15" x14ac:dyDescent="0.3">
      <c r="A415" t="s">
        <v>489</v>
      </c>
      <c r="B415" s="1">
        <v>46233.40625</v>
      </c>
      <c r="C415" t="str">
        <f t="shared" si="18"/>
        <v>2026-07</v>
      </c>
      <c r="D415" t="s">
        <v>107</v>
      </c>
      <c r="E415" t="s">
        <v>41</v>
      </c>
      <c r="F415" t="s">
        <v>63</v>
      </c>
      <c r="G415" t="s">
        <v>67</v>
      </c>
      <c r="H415" t="s">
        <v>32</v>
      </c>
      <c r="I415" s="2">
        <v>95.1</v>
      </c>
      <c r="J415" s="2">
        <v>162.80000000000001</v>
      </c>
      <c r="K415" s="3">
        <f t="shared" si="19"/>
        <v>15.482280000000001</v>
      </c>
      <c r="L415" t="s">
        <v>21</v>
      </c>
      <c r="M415" s="4">
        <v>8.0000000000000002E-3</v>
      </c>
      <c r="N415" s="5">
        <f t="shared" si="20"/>
        <v>123.85824000000001</v>
      </c>
      <c r="O415" t="s">
        <v>79</v>
      </c>
    </row>
    <row r="416" spans="1:15" x14ac:dyDescent="0.3">
      <c r="A416" t="s">
        <v>490</v>
      </c>
      <c r="B416" s="1">
        <v>46215.53125</v>
      </c>
      <c r="C416" t="str">
        <f t="shared" si="18"/>
        <v>2026-07</v>
      </c>
      <c r="D416" t="s">
        <v>24</v>
      </c>
      <c r="E416" t="s">
        <v>17</v>
      </c>
      <c r="F416" t="s">
        <v>25</v>
      </c>
      <c r="G416" t="s">
        <v>102</v>
      </c>
      <c r="H416" t="s">
        <v>74</v>
      </c>
      <c r="I416" s="2">
        <v>120.7</v>
      </c>
      <c r="J416" s="2">
        <v>112.6</v>
      </c>
      <c r="K416" s="3">
        <f t="shared" si="19"/>
        <v>13.590819999999999</v>
      </c>
      <c r="L416" t="s">
        <v>21</v>
      </c>
      <c r="M416" s="4">
        <v>0.01</v>
      </c>
      <c r="N416" s="5">
        <f t="shared" si="20"/>
        <v>135.90819999999999</v>
      </c>
      <c r="O416" t="s">
        <v>39</v>
      </c>
    </row>
    <row r="417" spans="1:15" x14ac:dyDescent="0.3">
      <c r="A417" t="s">
        <v>491</v>
      </c>
      <c r="B417" s="1">
        <v>46205.479166666664</v>
      </c>
      <c r="C417" t="str">
        <f t="shared" si="18"/>
        <v>2026-07</v>
      </c>
      <c r="D417" t="s">
        <v>35</v>
      </c>
      <c r="E417" t="s">
        <v>17</v>
      </c>
      <c r="F417" t="s">
        <v>18</v>
      </c>
      <c r="G417" t="s">
        <v>48</v>
      </c>
      <c r="H417" t="s">
        <v>27</v>
      </c>
      <c r="I417" s="2">
        <v>212.8</v>
      </c>
      <c r="J417" s="2">
        <v>110.8</v>
      </c>
      <c r="K417" s="3">
        <f t="shared" si="19"/>
        <v>23.578240000000001</v>
      </c>
      <c r="L417" t="s">
        <v>55</v>
      </c>
      <c r="M417" s="4">
        <v>8.0000000000000002E-3</v>
      </c>
      <c r="N417" s="5">
        <f t="shared" si="20"/>
        <v>0</v>
      </c>
      <c r="O417" t="s">
        <v>44</v>
      </c>
    </row>
    <row r="418" spans="1:15" x14ac:dyDescent="0.3">
      <c r="A418" t="s">
        <v>492</v>
      </c>
      <c r="B418" s="1">
        <v>46213.583333333336</v>
      </c>
      <c r="C418" t="str">
        <f t="shared" si="18"/>
        <v>2026-07</v>
      </c>
      <c r="D418" t="s">
        <v>16</v>
      </c>
      <c r="E418" t="s">
        <v>47</v>
      </c>
      <c r="F418" t="s">
        <v>37</v>
      </c>
      <c r="G418" t="s">
        <v>76</v>
      </c>
      <c r="H418" t="s">
        <v>85</v>
      </c>
      <c r="I418" s="2">
        <v>124.1</v>
      </c>
      <c r="J418" s="2">
        <v>76.5</v>
      </c>
      <c r="K418" s="3">
        <f t="shared" si="19"/>
        <v>9.4936499999999988</v>
      </c>
      <c r="L418" t="s">
        <v>21</v>
      </c>
      <c r="M418" s="4">
        <v>1.2E-2</v>
      </c>
      <c r="N418" s="5">
        <f t="shared" si="20"/>
        <v>113.92379999999999</v>
      </c>
      <c r="O418" t="s">
        <v>22</v>
      </c>
    </row>
    <row r="419" spans="1:15" x14ac:dyDescent="0.3">
      <c r="A419" t="s">
        <v>493</v>
      </c>
      <c r="B419" s="1">
        <v>46234.333333333336</v>
      </c>
      <c r="C419" t="str">
        <f t="shared" si="18"/>
        <v>2026-07</v>
      </c>
      <c r="D419" t="s">
        <v>46</v>
      </c>
      <c r="E419" t="s">
        <v>47</v>
      </c>
      <c r="F419" t="s">
        <v>37</v>
      </c>
      <c r="G419" t="s">
        <v>38</v>
      </c>
      <c r="H419" t="s">
        <v>74</v>
      </c>
      <c r="I419" s="2">
        <v>70.599999999999994</v>
      </c>
      <c r="J419" s="2">
        <v>91.3</v>
      </c>
      <c r="K419" s="3">
        <f t="shared" si="19"/>
        <v>6.4457799999999992</v>
      </c>
      <c r="L419" t="s">
        <v>21</v>
      </c>
      <c r="M419" s="4">
        <v>1.2E-2</v>
      </c>
      <c r="N419" s="5">
        <f t="shared" si="20"/>
        <v>77.34935999999999</v>
      </c>
      <c r="O419" t="s">
        <v>33</v>
      </c>
    </row>
    <row r="420" spans="1:15" x14ac:dyDescent="0.3">
      <c r="A420" t="s">
        <v>494</v>
      </c>
      <c r="B420" s="1">
        <v>46228.760416666664</v>
      </c>
      <c r="C420" t="str">
        <f t="shared" si="18"/>
        <v>2026-07</v>
      </c>
      <c r="D420" t="s">
        <v>35</v>
      </c>
      <c r="E420" t="s">
        <v>41</v>
      </c>
      <c r="F420" t="s">
        <v>63</v>
      </c>
      <c r="G420" t="s">
        <v>88</v>
      </c>
      <c r="H420" t="s">
        <v>71</v>
      </c>
      <c r="I420" s="2">
        <v>218.8</v>
      </c>
      <c r="J420" s="2">
        <v>142.9</v>
      </c>
      <c r="K420" s="3">
        <f t="shared" si="19"/>
        <v>31.266520000000003</v>
      </c>
      <c r="L420" t="s">
        <v>21</v>
      </c>
      <c r="M420" s="4">
        <v>0.01</v>
      </c>
      <c r="N420" s="5">
        <f t="shared" si="20"/>
        <v>312.66520000000003</v>
      </c>
      <c r="O420" t="s">
        <v>33</v>
      </c>
    </row>
    <row r="421" spans="1:15" x14ac:dyDescent="0.3">
      <c r="A421" t="s">
        <v>495</v>
      </c>
      <c r="B421" s="1">
        <v>46223.479166666664</v>
      </c>
      <c r="C421" t="str">
        <f t="shared" si="18"/>
        <v>2026-07</v>
      </c>
      <c r="D421" t="s">
        <v>24</v>
      </c>
      <c r="E421" t="s">
        <v>29</v>
      </c>
      <c r="F421" t="s">
        <v>25</v>
      </c>
      <c r="G421" t="s">
        <v>26</v>
      </c>
      <c r="H421" t="s">
        <v>59</v>
      </c>
      <c r="I421" s="2">
        <v>58.7</v>
      </c>
      <c r="J421" s="2">
        <v>73</v>
      </c>
      <c r="K421" s="3">
        <f t="shared" si="19"/>
        <v>4.2851000000000008</v>
      </c>
      <c r="L421" t="s">
        <v>21</v>
      </c>
      <c r="M421" s="4">
        <v>1.4999999999999999E-2</v>
      </c>
      <c r="N421" s="5">
        <f t="shared" si="20"/>
        <v>64.276500000000013</v>
      </c>
      <c r="O421"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A157-0C65-4199-8895-FA8E9A86445D}">
  <dimension ref="A1:L19"/>
  <sheetViews>
    <sheetView workbookViewId="0">
      <selection activeCell="B16" sqref="B16"/>
    </sheetView>
  </sheetViews>
  <sheetFormatPr defaultRowHeight="14" x14ac:dyDescent="0.3"/>
  <cols>
    <col min="1" max="1" width="10" customWidth="1"/>
    <col min="2" max="2" width="9.1640625" customWidth="1"/>
    <col min="3" max="3" width="10.83203125" customWidth="1"/>
    <col min="4" max="4" width="14.1640625" customWidth="1"/>
    <col min="5" max="5" width="8.33203125" customWidth="1"/>
    <col min="6" max="6" width="10.83203125" customWidth="1"/>
    <col min="7" max="7" width="12.5" customWidth="1"/>
    <col min="8" max="8" width="8.33203125" customWidth="1"/>
    <col min="9" max="9" width="10.83203125" customWidth="1"/>
    <col min="10" max="10" width="13.33203125" customWidth="1"/>
    <col min="11" max="11" width="8.33203125" customWidth="1"/>
    <col min="12" max="12" width="10.83203125" customWidth="1"/>
  </cols>
  <sheetData>
    <row r="1" spans="1:12" ht="23" x14ac:dyDescent="0.5">
      <c r="A1" s="8" t="s">
        <v>496</v>
      </c>
      <c r="B1" s="8"/>
      <c r="C1" s="8"/>
      <c r="D1" s="8"/>
      <c r="E1" s="8"/>
      <c r="F1" s="8"/>
      <c r="G1" s="8"/>
      <c r="H1" s="8"/>
      <c r="I1" s="8"/>
      <c r="J1" s="8"/>
      <c r="K1" s="8"/>
      <c r="L1" s="8"/>
    </row>
    <row r="2" spans="1:12" ht="14.5" x14ac:dyDescent="0.35">
      <c r="A2" s="10" t="s">
        <v>497</v>
      </c>
      <c r="B2" s="10"/>
      <c r="C2" s="10"/>
      <c r="D2" s="10"/>
      <c r="E2" s="10"/>
      <c r="F2" s="10"/>
      <c r="G2" s="10"/>
      <c r="H2" s="10"/>
      <c r="I2" s="10"/>
      <c r="J2" s="10"/>
      <c r="K2" s="10"/>
      <c r="L2" s="10"/>
    </row>
    <row r="4" spans="1:12" ht="28" x14ac:dyDescent="0.3">
      <c r="A4" s="11" t="s">
        <v>2</v>
      </c>
      <c r="B4" s="11" t="s">
        <v>498</v>
      </c>
      <c r="C4" s="11" t="s">
        <v>499</v>
      </c>
      <c r="D4" s="11" t="s">
        <v>5</v>
      </c>
      <c r="E4" s="11" t="s">
        <v>498</v>
      </c>
      <c r="F4" s="11" t="s">
        <v>499</v>
      </c>
      <c r="G4" s="11" t="s">
        <v>4</v>
      </c>
      <c r="H4" s="11" t="s">
        <v>498</v>
      </c>
      <c r="I4" s="11" t="s">
        <v>499</v>
      </c>
      <c r="J4" s="11" t="s">
        <v>3</v>
      </c>
      <c r="K4" s="11" t="s">
        <v>498</v>
      </c>
      <c r="L4" s="11" t="s">
        <v>499</v>
      </c>
    </row>
    <row r="5" spans="1:12" ht="28" x14ac:dyDescent="0.3">
      <c r="A5" s="7">
        <v>46023</v>
      </c>
      <c r="B5" s="12">
        <f>COUNTIFS(tblBanHang[Trạng thái],"Đã bán",tblBanHang[Ngày giờ],"&gt;="&amp;A5,tblBanHang[Ngày giờ],"&lt;"&amp;EDATE(A5,1))</f>
        <v>31</v>
      </c>
      <c r="C5" s="13">
        <f>SUMIFS(tblBanHang[Giá trị GD (tỷ)],tblBanHang[Trạng thái],"Đã bán",tblBanHang[Ngày giờ],"&gt;="&amp;A5,tblBanHang[Ngày giờ],"&lt;"&amp;EDATE(A5,1))</f>
        <v>612.50996999999984</v>
      </c>
      <c r="D5" s="25" t="s">
        <v>25</v>
      </c>
      <c r="E5">
        <f>COUNTIFS(tblBanHang[Loại BĐS],D5,tblBanHang[Trạng thái],"Đã bán")</f>
        <v>39</v>
      </c>
      <c r="F5" s="2">
        <f>SUMIFS(tblBanHang[Giá trị GD (tỷ)],tblBanHang[Loại BĐS],D5,tblBanHang[Trạng thái],"Đã bán")</f>
        <v>306.61135999999999</v>
      </c>
      <c r="G5" s="25" t="s">
        <v>41</v>
      </c>
      <c r="H5">
        <f>COUNTIFS(tblBanHang[Kênh bán],G5,tblBanHang[Trạng thái],"Đã bán")</f>
        <v>50</v>
      </c>
      <c r="I5" s="2">
        <f>SUMIFS(tblBanHang[Giá trị GD (tỷ)],tblBanHang[Kênh bán],G5,tblBanHang[Trạng thái],"Đã bán")</f>
        <v>1266.5637499999998</v>
      </c>
      <c r="J5" s="25" t="s">
        <v>107</v>
      </c>
      <c r="K5">
        <f>COUNTIFS(tblBanHang[Sales],J5,tblBanHang[Trạng thái],"Đã bán")</f>
        <v>24</v>
      </c>
      <c r="L5" s="2">
        <f>SUMIFS(tblBanHang[Giá trị GD (tỷ)],tblBanHang[Sales],J5,tblBanHang[Trạng thái],"Đã bán")</f>
        <v>458.37303999999995</v>
      </c>
    </row>
    <row r="6" spans="1:12" ht="28" x14ac:dyDescent="0.3">
      <c r="A6" s="7">
        <v>46054</v>
      </c>
      <c r="B6" s="12">
        <f>COUNTIFS(tblBanHang[Trạng thái],"Đã bán",tblBanHang[Ngày giờ],"&gt;="&amp;A6,tblBanHang[Ngày giờ],"&lt;"&amp;EDATE(A6,1))</f>
        <v>36</v>
      </c>
      <c r="C6" s="13">
        <f>SUMIFS(tblBanHang[Giá trị GD (tỷ)],tblBanHang[Trạng thái],"Đã bán",tblBanHang[Ngày giờ],"&gt;="&amp;A6,tblBanHang[Ngày giờ],"&lt;"&amp;EDATE(A6,1))</f>
        <v>914.54867000000002</v>
      </c>
      <c r="D6" s="25" t="s">
        <v>30</v>
      </c>
      <c r="E6">
        <f>COUNTIFS(tblBanHang[Loại BĐS],D6,tblBanHang[Trạng thái],"Đã bán")</f>
        <v>27</v>
      </c>
      <c r="F6" s="2">
        <f>SUMIFS(tblBanHang[Giá trị GD (tỷ)],tblBanHang[Loại BĐS],D6,tblBanHang[Trạng thái],"Đã bán")</f>
        <v>181.01617999999999</v>
      </c>
      <c r="G6" s="25" t="s">
        <v>47</v>
      </c>
      <c r="H6">
        <f>COUNTIFS(tblBanHang[Kênh bán],G6,tblBanHang[Trạng thái],"Đã bán")</f>
        <v>45</v>
      </c>
      <c r="I6" s="2">
        <f>SUMIFS(tblBanHang[Giá trị GD (tỷ)],tblBanHang[Kênh bán],G6,tblBanHang[Trạng thái],"Đã bán")</f>
        <v>991.09380999999996</v>
      </c>
      <c r="J6" s="25" t="s">
        <v>69</v>
      </c>
      <c r="K6">
        <f>COUNTIFS(tblBanHang[Sales],J6,tblBanHang[Trạng thái],"Đã bán")</f>
        <v>31</v>
      </c>
      <c r="L6" s="2">
        <f>SUMIFS(tblBanHang[Giá trị GD (tỷ)],tblBanHang[Sales],J6,tblBanHang[Trạng thái],"Đã bán")</f>
        <v>816.50930999999991</v>
      </c>
    </row>
    <row r="7" spans="1:12" ht="28" x14ac:dyDescent="0.3">
      <c r="A7" s="7">
        <v>46082</v>
      </c>
      <c r="B7" s="12">
        <f>COUNTIFS(tblBanHang[Trạng thái],"Đã bán",tblBanHang[Ngày giờ],"&gt;="&amp;A7,tblBanHang[Ngày giờ],"&lt;"&amp;EDATE(A7,1))</f>
        <v>27</v>
      </c>
      <c r="C7" s="13">
        <f>SUMIFS(tblBanHang[Giá trị GD (tỷ)],tblBanHang[Trạng thái],"Đã bán",tblBanHang[Ngày giờ],"&gt;="&amp;A7,tblBanHang[Ngày giờ],"&lt;"&amp;EDATE(A7,1))</f>
        <v>506.42466000000002</v>
      </c>
      <c r="D7" s="25" t="s">
        <v>37</v>
      </c>
      <c r="E7">
        <f>COUNTIFS(tblBanHang[Loại BĐS],D7,tblBanHang[Trạng thái],"Đã bán")</f>
        <v>44</v>
      </c>
      <c r="F7" s="2">
        <f>SUMIFS(tblBanHang[Giá trị GD (tỷ)],tblBanHang[Loại BĐS],D7,tblBanHang[Trạng thái],"Đã bán")</f>
        <v>787.35181999999998</v>
      </c>
      <c r="G7" s="25" t="s">
        <v>17</v>
      </c>
      <c r="H7">
        <f>COUNTIFS(tblBanHang[Kênh bán],G7,tblBanHang[Trạng thái],"Đã bán")</f>
        <v>38</v>
      </c>
      <c r="I7" s="2">
        <f>SUMIFS(tblBanHang[Giá trị GD (tỷ)],tblBanHang[Kênh bán],G7,tblBanHang[Trạng thái],"Đã bán")</f>
        <v>868.25725999999986</v>
      </c>
      <c r="J7" s="25" t="s">
        <v>51</v>
      </c>
      <c r="K7">
        <f>COUNTIFS(tblBanHang[Sales],J7,tblBanHang[Trạng thái],"Đã bán")</f>
        <v>26</v>
      </c>
      <c r="L7" s="2">
        <f>SUMIFS(tblBanHang[Giá trị GD (tỷ)],tblBanHang[Sales],J7,tblBanHang[Trạng thái],"Đã bán")</f>
        <v>634.55072999999993</v>
      </c>
    </row>
    <row r="8" spans="1:12" ht="28" x14ac:dyDescent="0.3">
      <c r="A8" s="7">
        <v>46113</v>
      </c>
      <c r="B8" s="12">
        <f>COUNTIFS(tblBanHang[Trạng thái],"Đã bán",tblBanHang[Ngày giờ],"&gt;="&amp;A8,tblBanHang[Ngày giờ],"&lt;"&amp;EDATE(A8,1))</f>
        <v>35</v>
      </c>
      <c r="C8" s="13">
        <f>SUMIFS(tblBanHang[Giá trị GD (tỷ)],tblBanHang[Trạng thái],"Đã bán",tblBanHang[Ngày giờ],"&gt;="&amp;A8,tblBanHang[Ngày giờ],"&lt;"&amp;EDATE(A8,1))</f>
        <v>984.24165000000005</v>
      </c>
      <c r="D8" s="25" t="s">
        <v>18</v>
      </c>
      <c r="E8">
        <f>COUNTIFS(tblBanHang[Loại BĐS],D8,tblBanHang[Trạng thái],"Đã bán")</f>
        <v>41</v>
      </c>
      <c r="F8" s="2">
        <f>SUMIFS(tblBanHang[Giá trị GD (tỷ)],tblBanHang[Loại BĐS],D8,tblBanHang[Trạng thái],"Đã bán")</f>
        <v>2317.1963099999998</v>
      </c>
      <c r="G8" s="25" t="s">
        <v>29</v>
      </c>
      <c r="H8">
        <f>COUNTIFS(tblBanHang[Kênh bán],G8,tblBanHang[Trạng thái],"Đã bán")</f>
        <v>48</v>
      </c>
      <c r="I8" s="2">
        <f>SUMIFS(tblBanHang[Giá trị GD (tỷ)],tblBanHang[Kênh bán],G8,tblBanHang[Trạng thái],"Đã bán")</f>
        <v>1155.5137900000002</v>
      </c>
      <c r="J8" s="25" t="s">
        <v>24</v>
      </c>
      <c r="K8">
        <f>COUNTIFS(tblBanHang[Sales],J8,tblBanHang[Trạng thái],"Đã bán")</f>
        <v>30</v>
      </c>
      <c r="L8" s="2">
        <f>SUMIFS(tblBanHang[Giá trị GD (tỷ)],tblBanHang[Sales],J8,tblBanHang[Trạng thái],"Đã bán")</f>
        <v>657.33402000000001</v>
      </c>
    </row>
    <row r="9" spans="1:12" x14ac:dyDescent="0.3">
      <c r="A9" s="7">
        <v>46143</v>
      </c>
      <c r="B9" s="12">
        <f>COUNTIFS(tblBanHang[Trạng thái],"Đã bán",tblBanHang[Ngày giờ],"&gt;="&amp;A9,tblBanHang[Ngày giờ],"&lt;"&amp;EDATE(A9,1))</f>
        <v>28</v>
      </c>
      <c r="C9" s="13">
        <f>SUMIFS(tblBanHang[Giá trị GD (tỷ)],tblBanHang[Trạng thái],"Đã bán",tblBanHang[Ngày giờ],"&gt;="&amp;A9,tblBanHang[Ngày giờ],"&lt;"&amp;EDATE(A9,1))</f>
        <v>561.89882999999998</v>
      </c>
      <c r="D9" s="25" t="s">
        <v>63</v>
      </c>
      <c r="E9">
        <f>COUNTIFS(tblBanHang[Loại BĐS],D9,tblBanHang[Trạng thái],"Đã bán")</f>
        <v>40</v>
      </c>
      <c r="F9" s="2">
        <f>SUMIFS(tblBanHang[Giá trị GD (tỷ)],tblBanHang[Loại BĐS],D9,tblBanHang[Trạng thái],"Đã bán")</f>
        <v>1084.0320399999996</v>
      </c>
      <c r="G9" s="25" t="s">
        <v>36</v>
      </c>
      <c r="H9">
        <f>COUNTIFS(tblBanHang[Kênh bán],G9,tblBanHang[Trạng thái],"Đã bán")</f>
        <v>43</v>
      </c>
      <c r="I9" s="2">
        <f>SUMIFS(tblBanHang[Giá trị GD (tỷ)],tblBanHang[Kênh bán],G9,tblBanHang[Trạng thái],"Đã bán")</f>
        <v>846.18642</v>
      </c>
      <c r="J9" s="25" t="s">
        <v>73</v>
      </c>
      <c r="K9">
        <f>COUNTIFS(tblBanHang[Sales],J9,tblBanHang[Trạng thái],"Đã bán")</f>
        <v>28</v>
      </c>
      <c r="L9" s="2">
        <f>SUMIFS(tblBanHang[Giá trị GD (tỷ)],tblBanHang[Sales],J9,tblBanHang[Trạng thái],"Đã bán")</f>
        <v>461.46482000000003</v>
      </c>
    </row>
    <row r="10" spans="1:12" ht="28" x14ac:dyDescent="0.3">
      <c r="A10" s="7">
        <v>46174</v>
      </c>
      <c r="B10" s="12">
        <f>COUNTIFS(tblBanHang[Trạng thái],"Đã bán",tblBanHang[Ngày giờ],"&gt;="&amp;A10,tblBanHang[Ngày giờ],"&lt;"&amp;EDATE(A10,1))</f>
        <v>28</v>
      </c>
      <c r="C10" s="13">
        <f>SUMIFS(tblBanHang[Giá trị GD (tỷ)],tblBanHang[Trạng thái],"Đã bán",tblBanHang[Ngày giờ],"&gt;="&amp;A10,tblBanHang[Ngày giờ],"&lt;"&amp;EDATE(A10,1))</f>
        <v>770.6788600000001</v>
      </c>
      <c r="D10" s="25" t="s">
        <v>52</v>
      </c>
      <c r="E10">
        <f>COUNTIFS(tblBanHang[Loại BĐS],D10,tblBanHang[Trạng thái],"Đã bán")</f>
        <v>33</v>
      </c>
      <c r="F10" s="2">
        <f>SUMIFS(tblBanHang[Giá trị GD (tỷ)],tblBanHang[Loại BĐS],D10,tblBanHang[Trạng thái],"Đã bán")</f>
        <v>451.40731999999997</v>
      </c>
      <c r="J10" s="25" t="s">
        <v>46</v>
      </c>
      <c r="K10">
        <f>COUNTIFS(tblBanHang[Sales],J10,tblBanHang[Trạng thái],"Đã bán")</f>
        <v>31</v>
      </c>
      <c r="L10" s="2">
        <f>SUMIFS(tblBanHang[Giá trị GD (tỷ)],tblBanHang[Sales],J10,tblBanHang[Trạng thái],"Đã bán")</f>
        <v>653.41236000000004</v>
      </c>
    </row>
    <row r="11" spans="1:12" ht="28" x14ac:dyDescent="0.3">
      <c r="A11" s="7">
        <v>46204</v>
      </c>
      <c r="B11" s="12">
        <f>COUNTIFS(tblBanHang[Trạng thái],"Đã bán",tblBanHang[Ngày giờ],"&gt;="&amp;A11,tblBanHang[Ngày giờ],"&lt;"&amp;EDATE(A11,1))</f>
        <v>39</v>
      </c>
      <c r="C11" s="13">
        <f>SUMIFS(tblBanHang[Giá trị GD (tỷ)],tblBanHang[Trạng thái],"Đã bán",tblBanHang[Ngày giờ],"&gt;="&amp;A11,tblBanHang[Ngày giờ],"&lt;"&amp;EDATE(A11,1))</f>
        <v>777.31238999999982</v>
      </c>
      <c r="J11" s="25" t="s">
        <v>35</v>
      </c>
      <c r="K11">
        <f>COUNTIFS(tblBanHang[Sales],J11,tblBanHang[Trạng thái],"Đã bán")</f>
        <v>23</v>
      </c>
      <c r="L11" s="2">
        <f>SUMIFS(tblBanHang[Giá trị GD (tỷ)],tblBanHang[Sales],J11,tblBanHang[Trạng thái],"Đã bán")</f>
        <v>587.37772999999993</v>
      </c>
    </row>
    <row r="12" spans="1:12" ht="28" x14ac:dyDescent="0.3">
      <c r="B12" s="12"/>
      <c r="C12" s="12"/>
      <c r="J12" s="25" t="s">
        <v>16</v>
      </c>
      <c r="K12">
        <f>COUNTIFS(tblBanHang[Sales],J12,tblBanHang[Trạng thái],"Đã bán")</f>
        <v>31</v>
      </c>
      <c r="L12" s="2">
        <f>SUMIFS(tblBanHang[Giá trị GD (tỷ)],tblBanHang[Sales],J12,tblBanHang[Trạng thái],"Đã bán")</f>
        <v>858.5930199999998</v>
      </c>
    </row>
    <row r="13" spans="1:12" x14ac:dyDescent="0.3">
      <c r="B13" s="12"/>
      <c r="C13" s="12"/>
    </row>
    <row r="14" spans="1:12" x14ac:dyDescent="0.3">
      <c r="B14" s="12"/>
      <c r="C14" s="12"/>
    </row>
    <row r="15" spans="1:12" ht="28" x14ac:dyDescent="0.3">
      <c r="A15" s="11" t="s">
        <v>11</v>
      </c>
      <c r="B15" s="14" t="s">
        <v>500</v>
      </c>
      <c r="C15" s="14" t="s">
        <v>501</v>
      </c>
    </row>
    <row r="16" spans="1:12" x14ac:dyDescent="0.3">
      <c r="A16" t="s">
        <v>21</v>
      </c>
      <c r="B16" s="12">
        <f>COUNTIF(tblBanHang[Trạng thái],A16)</f>
        <v>224</v>
      </c>
      <c r="C16" s="13">
        <f>SUMIF(tblBanHang[Trạng thái],A16,tblBanHang[Giá trị GD (tỷ)])</f>
        <v>5127.6150299999981</v>
      </c>
    </row>
    <row r="17" spans="1:3" x14ac:dyDescent="0.3">
      <c r="A17" t="s">
        <v>55</v>
      </c>
      <c r="B17" s="12">
        <f>COUNTIF(tblBanHang[Trạng thái],A17)</f>
        <v>69</v>
      </c>
      <c r="C17" s="13">
        <f>SUMIF(tblBanHang[Trạng thái],A17,tblBanHang[Giá trị GD (tỷ)])</f>
        <v>1583.4364100000005</v>
      </c>
    </row>
    <row r="18" spans="1:3" x14ac:dyDescent="0.3">
      <c r="A18" t="s">
        <v>43</v>
      </c>
      <c r="B18" s="12">
        <f>COUNTIF(tblBanHang[Trạng thái],A18)</f>
        <v>70</v>
      </c>
      <c r="C18" s="13">
        <f>SUMIF(tblBanHang[Trạng thái],A18,tblBanHang[Giá trị GD (tỷ)])</f>
        <v>1167.9786299999998</v>
      </c>
    </row>
    <row r="19" spans="1:3" x14ac:dyDescent="0.3">
      <c r="A19" t="s">
        <v>78</v>
      </c>
      <c r="B19" s="12">
        <f>COUNTIF(tblBanHang[Trạng thái],A19)</f>
        <v>57</v>
      </c>
      <c r="C19" s="13">
        <f>SUMIF(tblBanHang[Trạng thái],A19,tblBanHang[Giá trị GD (tỷ)])</f>
        <v>1127.50009</v>
      </c>
    </row>
  </sheetData>
  <mergeCells count="2">
    <mergeCell ref="A1:L1"/>
    <mergeCell ref="A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6A3D8-4C4D-45A6-AEB0-E3034933A405}">
  <dimension ref="A1:M7"/>
  <sheetViews>
    <sheetView tabSelected="1" topLeftCell="A6" workbookViewId="0">
      <selection activeCell="J6" sqref="J6:M7"/>
    </sheetView>
  </sheetViews>
  <sheetFormatPr defaultRowHeight="14" x14ac:dyDescent="0.3"/>
  <cols>
    <col min="1" max="13" width="10" customWidth="1"/>
  </cols>
  <sheetData>
    <row r="1" spans="1:13" ht="32" customHeight="1" x14ac:dyDescent="0.5">
      <c r="A1" s="19" t="s">
        <v>502</v>
      </c>
      <c r="B1" s="19"/>
      <c r="C1" s="19"/>
      <c r="D1" s="19"/>
      <c r="E1" s="19"/>
      <c r="F1" s="19"/>
      <c r="G1" s="19"/>
      <c r="H1" s="19"/>
      <c r="I1" s="19"/>
      <c r="J1" s="19"/>
      <c r="K1" s="19"/>
      <c r="L1" s="19"/>
      <c r="M1" s="19"/>
    </row>
    <row r="2" spans="1:13" ht="14.5" x14ac:dyDescent="0.35">
      <c r="A2" s="9" t="s">
        <v>503</v>
      </c>
      <c r="B2" s="9"/>
      <c r="C2" s="9"/>
      <c r="D2" s="9"/>
      <c r="E2" s="9"/>
      <c r="F2" s="9"/>
      <c r="G2" s="9"/>
      <c r="H2" s="9"/>
      <c r="I2" s="9"/>
      <c r="J2" s="9"/>
      <c r="K2" s="9"/>
      <c r="L2" s="9"/>
      <c r="M2" s="9"/>
    </row>
    <row r="3" spans="1:13" ht="42" customHeight="1" x14ac:dyDescent="0.3">
      <c r="A3" s="20" t="s">
        <v>504</v>
      </c>
      <c r="B3" s="20"/>
      <c r="C3" s="20"/>
      <c r="D3" s="20"/>
      <c r="E3" s="20"/>
      <c r="F3" s="20"/>
      <c r="G3" s="20"/>
      <c r="H3" s="20"/>
      <c r="I3" s="20"/>
      <c r="J3" s="20"/>
      <c r="K3" s="20"/>
      <c r="L3" s="20"/>
      <c r="M3" s="20"/>
    </row>
    <row r="5" spans="1:13" x14ac:dyDescent="0.3">
      <c r="A5" s="15" t="s">
        <v>505</v>
      </c>
      <c r="B5" s="15"/>
      <c r="C5" s="15"/>
      <c r="D5" s="15" t="s">
        <v>506</v>
      </c>
      <c r="E5" s="15"/>
      <c r="F5" s="15"/>
      <c r="G5" s="15" t="s">
        <v>507</v>
      </c>
      <c r="H5" s="15"/>
      <c r="I5" s="15"/>
      <c r="J5" s="15" t="s">
        <v>508</v>
      </c>
      <c r="K5" s="15"/>
      <c r="L5" s="15"/>
      <c r="M5" s="15"/>
    </row>
    <row r="6" spans="1:13" ht="26" customHeight="1" x14ac:dyDescent="0.3">
      <c r="A6" s="16">
        <f>COUNTA(tblBanHang[Mã giao dịch])</f>
        <v>420</v>
      </c>
      <c r="B6" s="16"/>
      <c r="C6" s="16"/>
      <c r="D6" s="16">
        <f>COUNTIF(tblBanHang[Trạng thái],"Đã bán")</f>
        <v>224</v>
      </c>
      <c r="E6" s="16"/>
      <c r="F6" s="16"/>
      <c r="G6" s="17">
        <f>SUMIFS(tblBanHang[Giá trị GD (tỷ)],tblBanHang[Trạng thái],"Đã bán")</f>
        <v>5127.6150299999981</v>
      </c>
      <c r="H6" s="17"/>
      <c r="I6" s="17"/>
      <c r="J6" s="18">
        <f>COUNTIF(tblBanHang[Trạng thái],"Đã bán")/COUNTA(tblBanHang[Mã giao dịch])</f>
        <v>0.53333333333333333</v>
      </c>
      <c r="K6" s="18"/>
      <c r="L6" s="18"/>
      <c r="M6" s="18"/>
    </row>
    <row r="7" spans="1:13" ht="26" customHeight="1" x14ac:dyDescent="0.3">
      <c r="A7" s="16"/>
      <c r="B7" s="16"/>
      <c r="C7" s="16"/>
      <c r="D7" s="16"/>
      <c r="E7" s="16"/>
      <c r="F7" s="16"/>
      <c r="G7" s="17"/>
      <c r="H7" s="17"/>
      <c r="I7" s="17"/>
      <c r="J7" s="18"/>
      <c r="K7" s="18"/>
      <c r="L7" s="18"/>
      <c r="M7" s="18"/>
    </row>
  </sheetData>
  <mergeCells count="11">
    <mergeCell ref="J6:M7"/>
    <mergeCell ref="A1:M1"/>
    <mergeCell ref="A2:M2"/>
    <mergeCell ref="A3:M3"/>
    <mergeCell ref="A5:C5"/>
    <mergeCell ref="A6:C7"/>
    <mergeCell ref="D5:F5"/>
    <mergeCell ref="D6:F7"/>
    <mergeCell ref="G5:I5"/>
    <mergeCell ref="G6:I7"/>
    <mergeCell ref="J5:M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Trang chủ</vt:lpstr>
      <vt:lpstr>Giao dịch 2026</vt:lpstr>
      <vt:lpstr>Tổng hợp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Hoang</dc:creator>
  <cp:lastModifiedBy>Phan Hoang</cp:lastModifiedBy>
  <dcterms:created xsi:type="dcterms:W3CDTF">2026-08-09T09:47:58Z</dcterms:created>
  <dcterms:modified xsi:type="dcterms:W3CDTF">2026-08-09T10:26:08Z</dcterms:modified>
</cp:coreProperties>
</file>